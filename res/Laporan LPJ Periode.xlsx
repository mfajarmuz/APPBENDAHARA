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FILES\Gemini-Space\BendaharaApp\res\"/>
    </mc:Choice>
  </mc:AlternateContent>
  <xr:revisionPtr revIDLastSave="0" documentId="8_{BE11BEE5-1BDF-4281-B2D4-CB70B7975E22}" xr6:coauthVersionLast="47" xr6:coauthVersionMax="47" xr10:uidLastSave="{00000000-0000-0000-0000-000000000000}"/>
  <bookViews>
    <workbookView xWindow="-120" yWindow="-120" windowWidth="28320" windowHeight="18240" xr2:uid="{C916BE76-C9C8-4E59-90AA-EA335730EB1C}"/>
  </bookViews>
  <sheets>
    <sheet name="MARET 2026" sheetId="1" r:id="rId1"/>
  </sheets>
  <definedNames>
    <definedName name="_xlnm.Print_Area" localSheetId="0">'MARET 2026'!$A$1:$N$327</definedName>
    <definedName name="_xlnm.Print_Titles" localSheetId="0">'MARET 2026'!$6:$8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15" i="1" l="1"/>
  <c r="L314" i="1"/>
  <c r="M314" i="1" s="1"/>
  <c r="M313" i="1"/>
  <c r="L312" i="1"/>
  <c r="H312" i="1"/>
  <c r="M312" i="1" s="1"/>
  <c r="L311" i="1"/>
  <c r="H311" i="1"/>
  <c r="M311" i="1" s="1"/>
  <c r="M310" i="1"/>
  <c r="L310" i="1"/>
  <c r="H310" i="1"/>
  <c r="L309" i="1"/>
  <c r="H309" i="1"/>
  <c r="L308" i="1"/>
  <c r="H308" i="1"/>
  <c r="K307" i="1"/>
  <c r="K315" i="1" s="1"/>
  <c r="J307" i="1"/>
  <c r="J315" i="1" s="1"/>
  <c r="I307" i="1"/>
  <c r="G307" i="1"/>
  <c r="F307" i="1"/>
  <c r="E307" i="1"/>
  <c r="E315" i="1" s="1"/>
  <c r="L306" i="1"/>
  <c r="H306" i="1"/>
  <c r="M306" i="1" s="1"/>
  <c r="L305" i="1"/>
  <c r="H305" i="1"/>
  <c r="O304" i="1"/>
  <c r="M304" i="1"/>
  <c r="L304" i="1"/>
  <c r="H304" i="1"/>
  <c r="L303" i="1"/>
  <c r="H303" i="1"/>
  <c r="L302" i="1"/>
  <c r="K302" i="1"/>
  <c r="J302" i="1"/>
  <c r="I302" i="1"/>
  <c r="I315" i="1" s="1"/>
  <c r="G302" i="1"/>
  <c r="F302" i="1"/>
  <c r="E302" i="1"/>
  <c r="M298" i="1"/>
  <c r="M297" i="1"/>
  <c r="L296" i="1"/>
  <c r="M296" i="1" s="1"/>
  <c r="H296" i="1"/>
  <c r="O295" i="1"/>
  <c r="L295" i="1"/>
  <c r="H295" i="1"/>
  <c r="M295" i="1" s="1"/>
  <c r="L294" i="1"/>
  <c r="H294" i="1"/>
  <c r="M294" i="1" s="1"/>
  <c r="L293" i="1"/>
  <c r="H293" i="1"/>
  <c r="M293" i="1" s="1"/>
  <c r="O292" i="1"/>
  <c r="L292" i="1"/>
  <c r="H292" i="1"/>
  <c r="K291" i="1"/>
  <c r="K299" i="1" s="1"/>
  <c r="J291" i="1"/>
  <c r="I291" i="1"/>
  <c r="I299" i="1" s="1"/>
  <c r="G291" i="1"/>
  <c r="G299" i="1" s="1"/>
  <c r="F291" i="1"/>
  <c r="F299" i="1" s="1"/>
  <c r="E291" i="1"/>
  <c r="L290" i="1"/>
  <c r="H290" i="1"/>
  <c r="L289" i="1"/>
  <c r="M289" i="1" s="1"/>
  <c r="H289" i="1"/>
  <c r="L288" i="1"/>
  <c r="H288" i="1"/>
  <c r="L287" i="1"/>
  <c r="H287" i="1"/>
  <c r="M287" i="1" s="1"/>
  <c r="K286" i="1"/>
  <c r="J286" i="1"/>
  <c r="J299" i="1" s="1"/>
  <c r="I286" i="1"/>
  <c r="H286" i="1"/>
  <c r="G286" i="1"/>
  <c r="F286" i="1"/>
  <c r="E286" i="1"/>
  <c r="E299" i="1" s="1"/>
  <c r="L282" i="1"/>
  <c r="H282" i="1"/>
  <c r="L281" i="1"/>
  <c r="L280" i="1" s="1"/>
  <c r="K281" i="1"/>
  <c r="J281" i="1"/>
  <c r="I281" i="1"/>
  <c r="H281" i="1"/>
  <c r="H280" i="1" s="1"/>
  <c r="G281" i="1"/>
  <c r="F281" i="1"/>
  <c r="F280" i="1" s="1"/>
  <c r="E281" i="1"/>
  <c r="E280" i="1" s="1"/>
  <c r="D281" i="1"/>
  <c r="D280" i="1" s="1"/>
  <c r="K280" i="1"/>
  <c r="J280" i="1"/>
  <c r="I280" i="1"/>
  <c r="G280" i="1"/>
  <c r="N279" i="1"/>
  <c r="M279" i="1"/>
  <c r="M278" i="1" s="1"/>
  <c r="N278" i="1" s="1"/>
  <c r="L279" i="1"/>
  <c r="H279" i="1"/>
  <c r="L278" i="1"/>
  <c r="K278" i="1"/>
  <c r="J278" i="1"/>
  <c r="J275" i="1" s="1"/>
  <c r="I278" i="1"/>
  <c r="H278" i="1"/>
  <c r="G278" i="1"/>
  <c r="F278" i="1"/>
  <c r="E278" i="1"/>
  <c r="D278" i="1"/>
  <c r="D275" i="1" s="1"/>
  <c r="L277" i="1"/>
  <c r="L276" i="1" s="1"/>
  <c r="L275" i="1" s="1"/>
  <c r="H277" i="1"/>
  <c r="H276" i="1" s="1"/>
  <c r="K276" i="1"/>
  <c r="J276" i="1"/>
  <c r="I276" i="1"/>
  <c r="I275" i="1" s="1"/>
  <c r="G276" i="1"/>
  <c r="G275" i="1" s="1"/>
  <c r="F276" i="1"/>
  <c r="E276" i="1"/>
  <c r="E275" i="1" s="1"/>
  <c r="D276" i="1"/>
  <c r="K275" i="1"/>
  <c r="H275" i="1"/>
  <c r="F275" i="1"/>
  <c r="F270" i="1" s="1"/>
  <c r="F269" i="1" s="1"/>
  <c r="F268" i="1" s="1"/>
  <c r="F267" i="1" s="1"/>
  <c r="L274" i="1"/>
  <c r="H274" i="1"/>
  <c r="H272" i="1" s="1"/>
  <c r="H271" i="1" s="1"/>
  <c r="O273" i="1"/>
  <c r="L273" i="1"/>
  <c r="H273" i="1"/>
  <c r="L272" i="1"/>
  <c r="L271" i="1" s="1"/>
  <c r="L270" i="1" s="1"/>
  <c r="L269" i="1" s="1"/>
  <c r="L268" i="1" s="1"/>
  <c r="L267" i="1" s="1"/>
  <c r="K272" i="1"/>
  <c r="J272" i="1"/>
  <c r="J271" i="1" s="1"/>
  <c r="I272" i="1"/>
  <c r="G272" i="1"/>
  <c r="F272" i="1"/>
  <c r="F271" i="1" s="1"/>
  <c r="E272" i="1"/>
  <c r="E271" i="1" s="1"/>
  <c r="D272" i="1"/>
  <c r="D271" i="1" s="1"/>
  <c r="D270" i="1" s="1"/>
  <c r="D269" i="1" s="1"/>
  <c r="D268" i="1" s="1"/>
  <c r="D267" i="1" s="1"/>
  <c r="K271" i="1"/>
  <c r="K270" i="1" s="1"/>
  <c r="I271" i="1"/>
  <c r="G271" i="1"/>
  <c r="K269" i="1"/>
  <c r="K268" i="1" s="1"/>
  <c r="K267" i="1" s="1"/>
  <c r="M266" i="1"/>
  <c r="N266" i="1" s="1"/>
  <c r="L266" i="1"/>
  <c r="H266" i="1"/>
  <c r="L265" i="1"/>
  <c r="H265" i="1"/>
  <c r="L264" i="1"/>
  <c r="H264" i="1"/>
  <c r="M264" i="1" s="1"/>
  <c r="L263" i="1"/>
  <c r="L262" i="1" s="1"/>
  <c r="L256" i="1" s="1"/>
  <c r="K263" i="1"/>
  <c r="K262" i="1" s="1"/>
  <c r="J263" i="1"/>
  <c r="H263" i="1"/>
  <c r="H262" i="1" s="1"/>
  <c r="G263" i="1"/>
  <c r="F263" i="1"/>
  <c r="F262" i="1" s="1"/>
  <c r="F256" i="1" s="1"/>
  <c r="E263" i="1"/>
  <c r="D263" i="1"/>
  <c r="J262" i="1"/>
  <c r="G262" i="1"/>
  <c r="G256" i="1" s="1"/>
  <c r="E262" i="1"/>
  <c r="D262" i="1"/>
  <c r="L261" i="1"/>
  <c r="H261" i="1"/>
  <c r="M261" i="1" s="1"/>
  <c r="N261" i="1" s="1"/>
  <c r="M260" i="1"/>
  <c r="N260" i="1" s="1"/>
  <c r="L260" i="1"/>
  <c r="L259" i="1" s="1"/>
  <c r="H260" i="1"/>
  <c r="M259" i="1"/>
  <c r="M258" i="1" s="1"/>
  <c r="K259" i="1"/>
  <c r="J259" i="1"/>
  <c r="I259" i="1"/>
  <c r="I258" i="1" s="1"/>
  <c r="H259" i="1"/>
  <c r="H258" i="1" s="1"/>
  <c r="G259" i="1"/>
  <c r="G258" i="1" s="1"/>
  <c r="F259" i="1"/>
  <c r="E259" i="1"/>
  <c r="D259" i="1"/>
  <c r="L258" i="1"/>
  <c r="K258" i="1"/>
  <c r="J258" i="1"/>
  <c r="F258" i="1"/>
  <c r="E258" i="1"/>
  <c r="D258" i="1"/>
  <c r="L257" i="1"/>
  <c r="H257" i="1"/>
  <c r="K256" i="1"/>
  <c r="K255" i="1" s="1"/>
  <c r="K250" i="1" s="1"/>
  <c r="K249" i="1" s="1"/>
  <c r="K248" i="1" s="1"/>
  <c r="K247" i="1" s="1"/>
  <c r="J256" i="1"/>
  <c r="I256" i="1"/>
  <c r="I255" i="1" s="1"/>
  <c r="I250" i="1" s="1"/>
  <c r="I249" i="1" s="1"/>
  <c r="I248" i="1" s="1"/>
  <c r="I247" i="1" s="1"/>
  <c r="E256" i="1"/>
  <c r="L255" i="1"/>
  <c r="L250" i="1" s="1"/>
  <c r="J255" i="1"/>
  <c r="J250" i="1" s="1"/>
  <c r="J249" i="1" s="1"/>
  <c r="J248" i="1" s="1"/>
  <c r="J247" i="1" s="1"/>
  <c r="G255" i="1"/>
  <c r="G250" i="1" s="1"/>
  <c r="G249" i="1" s="1"/>
  <c r="G248" i="1" s="1"/>
  <c r="G247" i="1" s="1"/>
  <c r="F255" i="1"/>
  <c r="E255" i="1"/>
  <c r="E250" i="1" s="1"/>
  <c r="E249" i="1" s="1"/>
  <c r="E248" i="1" s="1"/>
  <c r="E247" i="1" s="1"/>
  <c r="N252" i="1"/>
  <c r="M252" i="1"/>
  <c r="L252" i="1"/>
  <c r="K252" i="1"/>
  <c r="K251" i="1" s="1"/>
  <c r="J252" i="1"/>
  <c r="J251" i="1" s="1"/>
  <c r="I252" i="1"/>
  <c r="I251" i="1" s="1"/>
  <c r="H252" i="1"/>
  <c r="H251" i="1" s="1"/>
  <c r="G252" i="1"/>
  <c r="G251" i="1" s="1"/>
  <c r="F252" i="1"/>
  <c r="E252" i="1"/>
  <c r="E251" i="1" s="1"/>
  <c r="D252" i="1"/>
  <c r="N251" i="1"/>
  <c r="M251" i="1"/>
  <c r="L251" i="1"/>
  <c r="F251" i="1"/>
  <c r="D251" i="1"/>
  <c r="F250" i="1"/>
  <c r="F249" i="1" s="1"/>
  <c r="F248" i="1" s="1"/>
  <c r="F247" i="1" s="1"/>
  <c r="L249" i="1"/>
  <c r="L248" i="1" s="1"/>
  <c r="L247" i="1" s="1"/>
  <c r="M246" i="1"/>
  <c r="M245" i="1" s="1"/>
  <c r="M244" i="1" s="1"/>
  <c r="L246" i="1"/>
  <c r="H246" i="1"/>
  <c r="L245" i="1"/>
  <c r="K245" i="1"/>
  <c r="J245" i="1"/>
  <c r="I245" i="1"/>
  <c r="I244" i="1" s="1"/>
  <c r="H245" i="1"/>
  <c r="H244" i="1" s="1"/>
  <c r="G245" i="1"/>
  <c r="F245" i="1"/>
  <c r="F244" i="1" s="1"/>
  <c r="E245" i="1"/>
  <c r="D245" i="1"/>
  <c r="L244" i="1"/>
  <c r="K244" i="1"/>
  <c r="J244" i="1"/>
  <c r="G244" i="1"/>
  <c r="E244" i="1"/>
  <c r="D244" i="1"/>
  <c r="P243" i="1"/>
  <c r="N243" i="1"/>
  <c r="M243" i="1"/>
  <c r="L243" i="1"/>
  <c r="H243" i="1"/>
  <c r="L242" i="1"/>
  <c r="L241" i="1" s="1"/>
  <c r="L240" i="1" s="1"/>
  <c r="H242" i="1"/>
  <c r="K241" i="1"/>
  <c r="K240" i="1" s="1"/>
  <c r="J241" i="1"/>
  <c r="I241" i="1"/>
  <c r="G241" i="1"/>
  <c r="G240" i="1" s="1"/>
  <c r="G233" i="1" s="1"/>
  <c r="G232" i="1" s="1"/>
  <c r="G231" i="1" s="1"/>
  <c r="G230" i="1" s="1"/>
  <c r="F241" i="1"/>
  <c r="F240" i="1" s="1"/>
  <c r="E241" i="1"/>
  <c r="D241" i="1"/>
  <c r="J240" i="1"/>
  <c r="P240" i="1" s="1"/>
  <c r="I240" i="1"/>
  <c r="E240" i="1"/>
  <c r="D240" i="1"/>
  <c r="P239" i="1"/>
  <c r="L239" i="1"/>
  <c r="H239" i="1"/>
  <c r="M239" i="1" s="1"/>
  <c r="N239" i="1" s="1"/>
  <c r="L238" i="1"/>
  <c r="H238" i="1"/>
  <c r="P237" i="1"/>
  <c r="L237" i="1"/>
  <c r="H237" i="1"/>
  <c r="M237" i="1" s="1"/>
  <c r="N237" i="1" s="1"/>
  <c r="P236" i="1"/>
  <c r="L236" i="1"/>
  <c r="L235" i="1" s="1"/>
  <c r="L234" i="1" s="1"/>
  <c r="L233" i="1" s="1"/>
  <c r="H236" i="1"/>
  <c r="K235" i="1"/>
  <c r="J235" i="1"/>
  <c r="J234" i="1" s="1"/>
  <c r="I235" i="1"/>
  <c r="I234" i="1" s="1"/>
  <c r="G235" i="1"/>
  <c r="G234" i="1" s="1"/>
  <c r="F235" i="1"/>
  <c r="E235" i="1"/>
  <c r="E234" i="1" s="1"/>
  <c r="E233" i="1" s="1"/>
  <c r="D235" i="1"/>
  <c r="K234" i="1"/>
  <c r="F234" i="1"/>
  <c r="D234" i="1"/>
  <c r="K233" i="1"/>
  <c r="I233" i="1"/>
  <c r="M229" i="1"/>
  <c r="L229" i="1"/>
  <c r="L227" i="1" s="1"/>
  <c r="H229" i="1"/>
  <c r="H227" i="1" s="1"/>
  <c r="N228" i="1"/>
  <c r="M228" i="1"/>
  <c r="L228" i="1"/>
  <c r="K228" i="1"/>
  <c r="J228" i="1"/>
  <c r="I228" i="1"/>
  <c r="H228" i="1"/>
  <c r="G228" i="1"/>
  <c r="F228" i="1"/>
  <c r="E228" i="1"/>
  <c r="D228" i="1"/>
  <c r="K227" i="1"/>
  <c r="J227" i="1"/>
  <c r="I227" i="1"/>
  <c r="G227" i="1"/>
  <c r="F227" i="1"/>
  <c r="E227" i="1"/>
  <c r="D227" i="1"/>
  <c r="M226" i="1"/>
  <c r="L226" i="1"/>
  <c r="K226" i="1"/>
  <c r="J226" i="1"/>
  <c r="I226" i="1"/>
  <c r="H226" i="1"/>
  <c r="G226" i="1"/>
  <c r="F226" i="1"/>
  <c r="E226" i="1"/>
  <c r="D226" i="1"/>
  <c r="N226" i="1" s="1"/>
  <c r="N224" i="1"/>
  <c r="M224" i="1"/>
  <c r="L224" i="1"/>
  <c r="K224" i="1"/>
  <c r="J224" i="1"/>
  <c r="I224" i="1"/>
  <c r="H224" i="1"/>
  <c r="G224" i="1"/>
  <c r="F224" i="1"/>
  <c r="E224" i="1"/>
  <c r="D224" i="1"/>
  <c r="L220" i="1"/>
  <c r="H220" i="1"/>
  <c r="L219" i="1"/>
  <c r="L218" i="1" s="1"/>
  <c r="L217" i="1" s="1"/>
  <c r="K219" i="1"/>
  <c r="K218" i="1" s="1"/>
  <c r="J219" i="1"/>
  <c r="I219" i="1"/>
  <c r="G219" i="1"/>
  <c r="G218" i="1" s="1"/>
  <c r="G217" i="1" s="1"/>
  <c r="G216" i="1" s="1"/>
  <c r="G206" i="1" s="1"/>
  <c r="F219" i="1"/>
  <c r="E219" i="1"/>
  <c r="E218" i="1" s="1"/>
  <c r="E217" i="1" s="1"/>
  <c r="D219" i="1"/>
  <c r="J218" i="1"/>
  <c r="I218" i="1"/>
  <c r="F218" i="1"/>
  <c r="F217" i="1" s="1"/>
  <c r="D218" i="1"/>
  <c r="D217" i="1" s="1"/>
  <c r="D175" i="1" s="1"/>
  <c r="K217" i="1"/>
  <c r="K216" i="1" s="1"/>
  <c r="J217" i="1"/>
  <c r="I217" i="1"/>
  <c r="I216" i="1" s="1"/>
  <c r="J216" i="1"/>
  <c r="D216" i="1"/>
  <c r="L215" i="1"/>
  <c r="H215" i="1"/>
  <c r="M215" i="1" s="1"/>
  <c r="N215" i="1" s="1"/>
  <c r="M214" i="1"/>
  <c r="L214" i="1"/>
  <c r="L213" i="1" s="1"/>
  <c r="H214" i="1"/>
  <c r="K213" i="1"/>
  <c r="J213" i="1"/>
  <c r="I213" i="1"/>
  <c r="I212" i="1" s="1"/>
  <c r="H213" i="1"/>
  <c r="G213" i="1"/>
  <c r="G212" i="1" s="1"/>
  <c r="G208" i="1" s="1"/>
  <c r="G207" i="1" s="1"/>
  <c r="F213" i="1"/>
  <c r="E213" i="1"/>
  <c r="E212" i="1" s="1"/>
  <c r="D213" i="1"/>
  <c r="L212" i="1"/>
  <c r="K212" i="1"/>
  <c r="J212" i="1"/>
  <c r="J208" i="1" s="1"/>
  <c r="H212" i="1"/>
  <c r="F212" i="1"/>
  <c r="D212" i="1"/>
  <c r="L211" i="1"/>
  <c r="H211" i="1"/>
  <c r="L210" i="1"/>
  <c r="L209" i="1" s="1"/>
  <c r="L208" i="1" s="1"/>
  <c r="L207" i="1" s="1"/>
  <c r="K210" i="1"/>
  <c r="K209" i="1" s="1"/>
  <c r="J210" i="1"/>
  <c r="I210" i="1"/>
  <c r="I209" i="1" s="1"/>
  <c r="G210" i="1"/>
  <c r="F210" i="1"/>
  <c r="E210" i="1"/>
  <c r="D210" i="1"/>
  <c r="D209" i="1" s="1"/>
  <c r="D208" i="1" s="1"/>
  <c r="D207" i="1" s="1"/>
  <c r="J209" i="1"/>
  <c r="G209" i="1"/>
  <c r="F209" i="1"/>
  <c r="F208" i="1" s="1"/>
  <c r="E209" i="1"/>
  <c r="E208" i="1" s="1"/>
  <c r="E207" i="1" s="1"/>
  <c r="I208" i="1"/>
  <c r="I207" i="1" s="1"/>
  <c r="J207" i="1"/>
  <c r="F207" i="1"/>
  <c r="I206" i="1"/>
  <c r="I205" i="1" s="1"/>
  <c r="G205" i="1"/>
  <c r="L204" i="1"/>
  <c r="H204" i="1"/>
  <c r="K203" i="1"/>
  <c r="J203" i="1"/>
  <c r="I203" i="1"/>
  <c r="H203" i="1"/>
  <c r="G203" i="1"/>
  <c r="F203" i="1"/>
  <c r="E203" i="1"/>
  <c r="D203" i="1"/>
  <c r="M202" i="1"/>
  <c r="L202" i="1"/>
  <c r="L201" i="1"/>
  <c r="K201" i="1"/>
  <c r="J201" i="1"/>
  <c r="I201" i="1"/>
  <c r="H201" i="1"/>
  <c r="G201" i="1"/>
  <c r="F201" i="1"/>
  <c r="E201" i="1"/>
  <c r="D201" i="1"/>
  <c r="D196" i="1" s="1"/>
  <c r="L200" i="1"/>
  <c r="H200" i="1"/>
  <c r="M200" i="1" s="1"/>
  <c r="N200" i="1" s="1"/>
  <c r="N199" i="1"/>
  <c r="L199" i="1"/>
  <c r="H199" i="1"/>
  <c r="M199" i="1" s="1"/>
  <c r="M198" i="1"/>
  <c r="N198" i="1" s="1"/>
  <c r="L198" i="1"/>
  <c r="H198" i="1"/>
  <c r="K197" i="1"/>
  <c r="K196" i="1" s="1"/>
  <c r="K192" i="1" s="1"/>
  <c r="K191" i="1" s="1"/>
  <c r="K190" i="1" s="1"/>
  <c r="K189" i="1" s="1"/>
  <c r="J197" i="1"/>
  <c r="I197" i="1"/>
  <c r="I196" i="1" s="1"/>
  <c r="I192" i="1" s="1"/>
  <c r="I191" i="1" s="1"/>
  <c r="I190" i="1" s="1"/>
  <c r="I189" i="1" s="1"/>
  <c r="H197" i="1"/>
  <c r="H196" i="1" s="1"/>
  <c r="G197" i="1"/>
  <c r="G196" i="1" s="1"/>
  <c r="F197" i="1"/>
  <c r="E197" i="1"/>
  <c r="E196" i="1" s="1"/>
  <c r="D197" i="1"/>
  <c r="J196" i="1"/>
  <c r="J192" i="1" s="1"/>
  <c r="J191" i="1" s="1"/>
  <c r="J190" i="1" s="1"/>
  <c r="J189" i="1" s="1"/>
  <c r="O189" i="1" s="1"/>
  <c r="F196" i="1"/>
  <c r="L195" i="1"/>
  <c r="L194" i="1" s="1"/>
  <c r="L193" i="1" s="1"/>
  <c r="H195" i="1"/>
  <c r="K194" i="1"/>
  <c r="K193" i="1" s="1"/>
  <c r="J194" i="1"/>
  <c r="J193" i="1" s="1"/>
  <c r="I194" i="1"/>
  <c r="I193" i="1" s="1"/>
  <c r="G194" i="1"/>
  <c r="G193" i="1" s="1"/>
  <c r="F194" i="1"/>
  <c r="E194" i="1"/>
  <c r="E193" i="1" s="1"/>
  <c r="D194" i="1"/>
  <c r="F193" i="1"/>
  <c r="F192" i="1" s="1"/>
  <c r="F191" i="1" s="1"/>
  <c r="F190" i="1" s="1"/>
  <c r="F189" i="1" s="1"/>
  <c r="D193" i="1"/>
  <c r="G192" i="1"/>
  <c r="G191" i="1" s="1"/>
  <c r="G190" i="1" s="1"/>
  <c r="G189" i="1" s="1"/>
  <c r="E192" i="1"/>
  <c r="E191" i="1" s="1"/>
  <c r="E190" i="1"/>
  <c r="E189" i="1"/>
  <c r="O188" i="1"/>
  <c r="P188" i="1" s="1"/>
  <c r="M188" i="1"/>
  <c r="L188" i="1"/>
  <c r="L187" i="1" s="1"/>
  <c r="L186" i="1" s="1"/>
  <c r="H188" i="1"/>
  <c r="K187" i="1"/>
  <c r="J187" i="1"/>
  <c r="I187" i="1"/>
  <c r="H187" i="1"/>
  <c r="H186" i="1" s="1"/>
  <c r="G187" i="1"/>
  <c r="F187" i="1"/>
  <c r="E187" i="1"/>
  <c r="D187" i="1"/>
  <c r="K186" i="1"/>
  <c r="J186" i="1"/>
  <c r="I186" i="1"/>
  <c r="G186" i="1"/>
  <c r="F186" i="1"/>
  <c r="E186" i="1"/>
  <c r="D186" i="1"/>
  <c r="L185" i="1"/>
  <c r="L184" i="1" s="1"/>
  <c r="H185" i="1"/>
  <c r="K184" i="1"/>
  <c r="J184" i="1"/>
  <c r="J183" i="1" s="1"/>
  <c r="I184" i="1"/>
  <c r="H184" i="1"/>
  <c r="G184" i="1"/>
  <c r="F184" i="1"/>
  <c r="F183" i="1" s="1"/>
  <c r="E184" i="1"/>
  <c r="D184" i="1"/>
  <c r="D183" i="1" s="1"/>
  <c r="L183" i="1"/>
  <c r="K183" i="1"/>
  <c r="I183" i="1"/>
  <c r="I179" i="1" s="1"/>
  <c r="H183" i="1"/>
  <c r="G183" i="1"/>
  <c r="E183" i="1"/>
  <c r="L182" i="1"/>
  <c r="H182" i="1"/>
  <c r="L181" i="1"/>
  <c r="L180" i="1" s="1"/>
  <c r="L179" i="1" s="1"/>
  <c r="L178" i="1" s="1"/>
  <c r="L177" i="1" s="1"/>
  <c r="L176" i="1" s="1"/>
  <c r="K181" i="1"/>
  <c r="J181" i="1"/>
  <c r="I181" i="1"/>
  <c r="G181" i="1"/>
  <c r="G180" i="1" s="1"/>
  <c r="G179" i="1" s="1"/>
  <c r="F181" i="1"/>
  <c r="F180" i="1" s="1"/>
  <c r="F179" i="1" s="1"/>
  <c r="E181" i="1"/>
  <c r="E180" i="1" s="1"/>
  <c r="D181" i="1"/>
  <c r="D180" i="1" s="1"/>
  <c r="K180" i="1"/>
  <c r="J180" i="1"/>
  <c r="J179" i="1" s="1"/>
  <c r="J173" i="1" s="1"/>
  <c r="J172" i="1" s="1"/>
  <c r="I180" i="1"/>
  <c r="K179" i="1"/>
  <c r="E179" i="1"/>
  <c r="J178" i="1"/>
  <c r="J177" i="1" s="1"/>
  <c r="J176" i="1" s="1"/>
  <c r="E178" i="1"/>
  <c r="E177" i="1"/>
  <c r="E176" i="1" s="1"/>
  <c r="K175" i="1"/>
  <c r="J175" i="1"/>
  <c r="J174" i="1" s="1"/>
  <c r="I175" i="1"/>
  <c r="G175" i="1"/>
  <c r="G174" i="1" s="1"/>
  <c r="K174" i="1"/>
  <c r="I174" i="1"/>
  <c r="D174" i="1"/>
  <c r="E173" i="1"/>
  <c r="E172" i="1" s="1"/>
  <c r="M169" i="1"/>
  <c r="L169" i="1"/>
  <c r="L168" i="1" s="1"/>
  <c r="H169" i="1"/>
  <c r="H168" i="1" s="1"/>
  <c r="K168" i="1"/>
  <c r="J168" i="1"/>
  <c r="I168" i="1"/>
  <c r="G168" i="1"/>
  <c r="G153" i="1" s="1"/>
  <c r="G134" i="1" s="1"/>
  <c r="G132" i="1" s="1"/>
  <c r="F168" i="1"/>
  <c r="E168" i="1"/>
  <c r="D168" i="1"/>
  <c r="L167" i="1"/>
  <c r="H167" i="1"/>
  <c r="M167" i="1" s="1"/>
  <c r="N167" i="1" s="1"/>
  <c r="L166" i="1"/>
  <c r="L164" i="1" s="1"/>
  <c r="H166" i="1"/>
  <c r="L165" i="1"/>
  <c r="H165" i="1"/>
  <c r="K164" i="1"/>
  <c r="J164" i="1"/>
  <c r="I164" i="1"/>
  <c r="H164" i="1"/>
  <c r="G164" i="1"/>
  <c r="F164" i="1"/>
  <c r="E164" i="1"/>
  <c r="D164" i="1"/>
  <c r="L163" i="1"/>
  <c r="H163" i="1"/>
  <c r="M163" i="1" s="1"/>
  <c r="N163" i="1" s="1"/>
  <c r="N162" i="1"/>
  <c r="M162" i="1"/>
  <c r="L162" i="1"/>
  <c r="H162" i="1"/>
  <c r="L161" i="1"/>
  <c r="H161" i="1"/>
  <c r="L160" i="1"/>
  <c r="K160" i="1"/>
  <c r="K153" i="1" s="1"/>
  <c r="J160" i="1"/>
  <c r="I160" i="1"/>
  <c r="G160" i="1"/>
  <c r="F160" i="1"/>
  <c r="E160" i="1"/>
  <c r="D160" i="1"/>
  <c r="M159" i="1"/>
  <c r="N159" i="1" s="1"/>
  <c r="L159" i="1"/>
  <c r="H159" i="1"/>
  <c r="L158" i="1"/>
  <c r="H158" i="1"/>
  <c r="M158" i="1" s="1"/>
  <c r="N158" i="1" s="1"/>
  <c r="L157" i="1"/>
  <c r="M157" i="1" s="1"/>
  <c r="N157" i="1" s="1"/>
  <c r="H157" i="1"/>
  <c r="N156" i="1"/>
  <c r="L156" i="1"/>
  <c r="H156" i="1"/>
  <c r="M156" i="1" s="1"/>
  <c r="L155" i="1"/>
  <c r="M155" i="1" s="1"/>
  <c r="H155" i="1"/>
  <c r="L154" i="1"/>
  <c r="L153" i="1" s="1"/>
  <c r="K154" i="1"/>
  <c r="J154" i="1"/>
  <c r="I154" i="1"/>
  <c r="H154" i="1"/>
  <c r="G154" i="1"/>
  <c r="F154" i="1"/>
  <c r="E154" i="1"/>
  <c r="D154" i="1"/>
  <c r="D153" i="1" s="1"/>
  <c r="D134" i="1" s="1"/>
  <c r="D132" i="1" s="1"/>
  <c r="I153" i="1"/>
  <c r="I134" i="1" s="1"/>
  <c r="I132" i="1" s="1"/>
  <c r="L152" i="1"/>
  <c r="H152" i="1"/>
  <c r="M152" i="1" s="1"/>
  <c r="N152" i="1" s="1"/>
  <c r="L151" i="1"/>
  <c r="H151" i="1"/>
  <c r="L150" i="1"/>
  <c r="L149" i="1" s="1"/>
  <c r="L130" i="1" s="1"/>
  <c r="K150" i="1"/>
  <c r="J150" i="1"/>
  <c r="J149" i="1" s="1"/>
  <c r="I150" i="1"/>
  <c r="I149" i="1" s="1"/>
  <c r="G150" i="1"/>
  <c r="F150" i="1"/>
  <c r="F149" i="1" s="1"/>
  <c r="E150" i="1"/>
  <c r="D150" i="1"/>
  <c r="D149" i="1" s="1"/>
  <c r="K149" i="1"/>
  <c r="G149" i="1"/>
  <c r="E149" i="1"/>
  <c r="L148" i="1"/>
  <c r="L147" i="1" s="1"/>
  <c r="L146" i="1" s="1"/>
  <c r="L145" i="1"/>
  <c r="H145" i="1"/>
  <c r="N144" i="1"/>
  <c r="L144" i="1"/>
  <c r="H144" i="1"/>
  <c r="M144" i="1" s="1"/>
  <c r="L143" i="1"/>
  <c r="L142" i="1" s="1"/>
  <c r="L134" i="1" s="1"/>
  <c r="L132" i="1" s="1"/>
  <c r="H143" i="1"/>
  <c r="K142" i="1"/>
  <c r="J142" i="1"/>
  <c r="I142" i="1"/>
  <c r="G142" i="1"/>
  <c r="F142" i="1"/>
  <c r="E142" i="1"/>
  <c r="E140" i="1" s="1"/>
  <c r="E138" i="1" s="1"/>
  <c r="D142" i="1"/>
  <c r="M141" i="1"/>
  <c r="N141" i="1" s="1"/>
  <c r="L141" i="1"/>
  <c r="K141" i="1"/>
  <c r="J141" i="1"/>
  <c r="I141" i="1"/>
  <c r="H141" i="1"/>
  <c r="G141" i="1"/>
  <c r="F141" i="1"/>
  <c r="E141" i="1"/>
  <c r="D141" i="1"/>
  <c r="I140" i="1"/>
  <c r="G140" i="1"/>
  <c r="F140" i="1"/>
  <c r="F138" i="1" s="1"/>
  <c r="F136" i="1" s="1"/>
  <c r="D140" i="1"/>
  <c r="N139" i="1"/>
  <c r="M139" i="1"/>
  <c r="M137" i="1" s="1"/>
  <c r="L139" i="1"/>
  <c r="K139" i="1"/>
  <c r="J139" i="1"/>
  <c r="I139" i="1"/>
  <c r="I137" i="1" s="1"/>
  <c r="H139" i="1"/>
  <c r="G139" i="1"/>
  <c r="G137" i="1" s="1"/>
  <c r="F139" i="1"/>
  <c r="F137" i="1" s="1"/>
  <c r="E139" i="1"/>
  <c r="D139" i="1"/>
  <c r="D137" i="1" s="1"/>
  <c r="N137" i="1" s="1"/>
  <c r="I138" i="1"/>
  <c r="I136" i="1" s="1"/>
  <c r="I135" i="1" s="1"/>
  <c r="G138" i="1"/>
  <c r="G136" i="1" s="1"/>
  <c r="G135" i="1" s="1"/>
  <c r="L137" i="1"/>
  <c r="K137" i="1"/>
  <c r="J137" i="1"/>
  <c r="H137" i="1"/>
  <c r="E137" i="1"/>
  <c r="E136" i="1"/>
  <c r="E135" i="1" s="1"/>
  <c r="F135" i="1"/>
  <c r="N133" i="1"/>
  <c r="M133" i="1"/>
  <c r="L133" i="1"/>
  <c r="K133" i="1"/>
  <c r="J133" i="1"/>
  <c r="I133" i="1"/>
  <c r="H133" i="1"/>
  <c r="G133" i="1"/>
  <c r="F133" i="1"/>
  <c r="E133" i="1"/>
  <c r="D133" i="1"/>
  <c r="N131" i="1"/>
  <c r="M131" i="1"/>
  <c r="M129" i="1" s="1"/>
  <c r="L131" i="1"/>
  <c r="L129" i="1" s="1"/>
  <c r="K131" i="1"/>
  <c r="J131" i="1"/>
  <c r="I131" i="1"/>
  <c r="H131" i="1"/>
  <c r="H129" i="1" s="1"/>
  <c r="G131" i="1"/>
  <c r="G129" i="1" s="1"/>
  <c r="F131" i="1"/>
  <c r="F129" i="1" s="1"/>
  <c r="E131" i="1"/>
  <c r="E129" i="1" s="1"/>
  <c r="D131" i="1"/>
  <c r="D129" i="1" s="1"/>
  <c r="J130" i="1"/>
  <c r="G130" i="1"/>
  <c r="E130" i="1"/>
  <c r="N129" i="1"/>
  <c r="K129" i="1"/>
  <c r="J129" i="1"/>
  <c r="I129" i="1"/>
  <c r="G128" i="1"/>
  <c r="G127" i="1" s="1"/>
  <c r="G126" i="1" s="1"/>
  <c r="M125" i="1"/>
  <c r="L125" i="1"/>
  <c r="H125" i="1"/>
  <c r="H124" i="1" s="1"/>
  <c r="L124" i="1"/>
  <c r="K124" i="1"/>
  <c r="K123" i="1" s="1"/>
  <c r="J124" i="1"/>
  <c r="I124" i="1"/>
  <c r="I123" i="1" s="1"/>
  <c r="I122" i="1" s="1"/>
  <c r="I63" i="1" s="1"/>
  <c r="G124" i="1"/>
  <c r="G123" i="1" s="1"/>
  <c r="G122" i="1" s="1"/>
  <c r="G63" i="1" s="1"/>
  <c r="F124" i="1"/>
  <c r="E124" i="1"/>
  <c r="E123" i="1" s="1"/>
  <c r="D124" i="1"/>
  <c r="L123" i="1"/>
  <c r="J123" i="1"/>
  <c r="H123" i="1"/>
  <c r="H122" i="1" s="1"/>
  <c r="H63" i="1" s="1"/>
  <c r="F123" i="1"/>
  <c r="F122" i="1" s="1"/>
  <c r="L122" i="1"/>
  <c r="K122" i="1"/>
  <c r="J122" i="1"/>
  <c r="J63" i="1" s="1"/>
  <c r="E122" i="1"/>
  <c r="E63" i="1" s="1"/>
  <c r="L121" i="1"/>
  <c r="M121" i="1" s="1"/>
  <c r="H121" i="1"/>
  <c r="L120" i="1"/>
  <c r="K120" i="1"/>
  <c r="K117" i="1" s="1"/>
  <c r="K116" i="1" s="1"/>
  <c r="J120" i="1"/>
  <c r="I120" i="1"/>
  <c r="H120" i="1"/>
  <c r="G120" i="1"/>
  <c r="F120" i="1"/>
  <c r="E120" i="1"/>
  <c r="D120" i="1"/>
  <c r="D117" i="1" s="1"/>
  <c r="D116" i="1" s="1"/>
  <c r="N119" i="1"/>
  <c r="M119" i="1"/>
  <c r="M118" i="1" s="1"/>
  <c r="L119" i="1"/>
  <c r="L118" i="1" s="1"/>
  <c r="H119" i="1"/>
  <c r="K118" i="1"/>
  <c r="J118" i="1"/>
  <c r="I118" i="1"/>
  <c r="I117" i="1" s="1"/>
  <c r="H118" i="1"/>
  <c r="H117" i="1" s="1"/>
  <c r="H116" i="1" s="1"/>
  <c r="H115" i="1" s="1"/>
  <c r="G118" i="1"/>
  <c r="G117" i="1" s="1"/>
  <c r="G116" i="1" s="1"/>
  <c r="G115" i="1" s="1"/>
  <c r="F118" i="1"/>
  <c r="E118" i="1"/>
  <c r="D118" i="1"/>
  <c r="L117" i="1"/>
  <c r="L116" i="1" s="1"/>
  <c r="L115" i="1" s="1"/>
  <c r="J117" i="1"/>
  <c r="J116" i="1" s="1"/>
  <c r="J115" i="1" s="1"/>
  <c r="F117" i="1"/>
  <c r="E117" i="1"/>
  <c r="I116" i="1"/>
  <c r="I115" i="1" s="1"/>
  <c r="F116" i="1"/>
  <c r="F115" i="1" s="1"/>
  <c r="E116" i="1"/>
  <c r="E115" i="1" s="1"/>
  <c r="M114" i="1"/>
  <c r="M113" i="1" s="1"/>
  <c r="L114" i="1"/>
  <c r="L113" i="1" s="1"/>
  <c r="H114" i="1"/>
  <c r="K113" i="1"/>
  <c r="J113" i="1"/>
  <c r="I113" i="1"/>
  <c r="I112" i="1" s="1"/>
  <c r="H113" i="1"/>
  <c r="G113" i="1"/>
  <c r="G112" i="1" s="1"/>
  <c r="G111" i="1" s="1"/>
  <c r="G110" i="1" s="1"/>
  <c r="G109" i="1" s="1"/>
  <c r="F113" i="1"/>
  <c r="E113" i="1"/>
  <c r="E112" i="1" s="1"/>
  <c r="E111" i="1" s="1"/>
  <c r="E110" i="1" s="1"/>
  <c r="D113" i="1"/>
  <c r="L112" i="1"/>
  <c r="L111" i="1" s="1"/>
  <c r="L110" i="1" s="1"/>
  <c r="K112" i="1"/>
  <c r="K111" i="1" s="1"/>
  <c r="K110" i="1" s="1"/>
  <c r="J112" i="1"/>
  <c r="J111" i="1" s="1"/>
  <c r="J110" i="1" s="1"/>
  <c r="H112" i="1"/>
  <c r="F112" i="1"/>
  <c r="F111" i="1" s="1"/>
  <c r="F110" i="1" s="1"/>
  <c r="F109" i="1" s="1"/>
  <c r="D112" i="1"/>
  <c r="D111" i="1" s="1"/>
  <c r="I111" i="1"/>
  <c r="I110" i="1" s="1"/>
  <c r="I109" i="1" s="1"/>
  <c r="H111" i="1"/>
  <c r="H110" i="1" s="1"/>
  <c r="H109" i="1" s="1"/>
  <c r="D110" i="1"/>
  <c r="L108" i="1"/>
  <c r="H108" i="1"/>
  <c r="K107" i="1"/>
  <c r="J107" i="1"/>
  <c r="J106" i="1" s="1"/>
  <c r="I107" i="1"/>
  <c r="H107" i="1"/>
  <c r="H106" i="1" s="1"/>
  <c r="G107" i="1"/>
  <c r="F107" i="1"/>
  <c r="F106" i="1" s="1"/>
  <c r="E107" i="1"/>
  <c r="E106" i="1" s="1"/>
  <c r="D107" i="1"/>
  <c r="D106" i="1" s="1"/>
  <c r="K106" i="1"/>
  <c r="I106" i="1"/>
  <c r="I101" i="1" s="1"/>
  <c r="G106" i="1"/>
  <c r="L105" i="1"/>
  <c r="H105" i="1"/>
  <c r="M105" i="1" s="1"/>
  <c r="N105" i="1" s="1"/>
  <c r="L104" i="1"/>
  <c r="L103" i="1" s="1"/>
  <c r="L102" i="1" s="1"/>
  <c r="H104" i="1"/>
  <c r="K103" i="1"/>
  <c r="K102" i="1" s="1"/>
  <c r="K101" i="1" s="1"/>
  <c r="K100" i="1" s="1"/>
  <c r="J103" i="1"/>
  <c r="J102" i="1" s="1"/>
  <c r="J101" i="1" s="1"/>
  <c r="I103" i="1"/>
  <c r="H103" i="1"/>
  <c r="H102" i="1" s="1"/>
  <c r="G103" i="1"/>
  <c r="F103" i="1"/>
  <c r="F102" i="1" s="1"/>
  <c r="E103" i="1"/>
  <c r="D103" i="1"/>
  <c r="I102" i="1"/>
  <c r="G102" i="1"/>
  <c r="E102" i="1"/>
  <c r="D102" i="1"/>
  <c r="D101" i="1" s="1"/>
  <c r="J100" i="1"/>
  <c r="L99" i="1"/>
  <c r="E99" i="1"/>
  <c r="M98" i="1"/>
  <c r="L98" i="1"/>
  <c r="H98" i="1"/>
  <c r="K97" i="1"/>
  <c r="J97" i="1"/>
  <c r="I97" i="1"/>
  <c r="I96" i="1" s="1"/>
  <c r="I95" i="1" s="1"/>
  <c r="I94" i="1" s="1"/>
  <c r="G97" i="1"/>
  <c r="G96" i="1" s="1"/>
  <c r="F97" i="1"/>
  <c r="D97" i="1"/>
  <c r="K96" i="1"/>
  <c r="K95" i="1" s="1"/>
  <c r="K94" i="1" s="1"/>
  <c r="J96" i="1"/>
  <c r="J95" i="1" s="1"/>
  <c r="J94" i="1" s="1"/>
  <c r="J93" i="1" s="1"/>
  <c r="F96" i="1"/>
  <c r="D96" i="1"/>
  <c r="G95" i="1"/>
  <c r="F95" i="1"/>
  <c r="F94" i="1" s="1"/>
  <c r="D95" i="1"/>
  <c r="G94" i="1"/>
  <c r="D94" i="1"/>
  <c r="L92" i="1"/>
  <c r="H92" i="1"/>
  <c r="M92" i="1" s="1"/>
  <c r="L91" i="1"/>
  <c r="L90" i="1" s="1"/>
  <c r="K91" i="1"/>
  <c r="J91" i="1"/>
  <c r="I91" i="1"/>
  <c r="I90" i="1" s="1"/>
  <c r="G91" i="1"/>
  <c r="F91" i="1"/>
  <c r="E91" i="1"/>
  <c r="D91" i="1"/>
  <c r="D90" i="1" s="1"/>
  <c r="K90" i="1"/>
  <c r="J90" i="1"/>
  <c r="G90" i="1"/>
  <c r="F90" i="1"/>
  <c r="E90" i="1"/>
  <c r="L89" i="1"/>
  <c r="H89" i="1"/>
  <c r="L88" i="1"/>
  <c r="K88" i="1"/>
  <c r="J88" i="1"/>
  <c r="I88" i="1"/>
  <c r="I85" i="1" s="1"/>
  <c r="G88" i="1"/>
  <c r="G85" i="1" s="1"/>
  <c r="F88" i="1"/>
  <c r="F85" i="1" s="1"/>
  <c r="E88" i="1"/>
  <c r="D88" i="1"/>
  <c r="N87" i="1"/>
  <c r="L87" i="1"/>
  <c r="M87" i="1" s="1"/>
  <c r="H87" i="1"/>
  <c r="N86" i="1"/>
  <c r="M86" i="1"/>
  <c r="L86" i="1"/>
  <c r="L85" i="1" s="1"/>
  <c r="K86" i="1"/>
  <c r="K85" i="1" s="1"/>
  <c r="J86" i="1"/>
  <c r="J85" i="1" s="1"/>
  <c r="I86" i="1"/>
  <c r="H86" i="1"/>
  <c r="G86" i="1"/>
  <c r="F86" i="1"/>
  <c r="E86" i="1"/>
  <c r="E85" i="1" s="1"/>
  <c r="D86" i="1"/>
  <c r="D85" i="1" s="1"/>
  <c r="L84" i="1"/>
  <c r="H84" i="1"/>
  <c r="M84" i="1" s="1"/>
  <c r="N84" i="1" s="1"/>
  <c r="L83" i="1"/>
  <c r="L82" i="1" s="1"/>
  <c r="H83" i="1"/>
  <c r="H82" i="1" s="1"/>
  <c r="H81" i="1" s="1"/>
  <c r="K82" i="1"/>
  <c r="J82" i="1"/>
  <c r="J81" i="1" s="1"/>
  <c r="I82" i="1"/>
  <c r="G82" i="1"/>
  <c r="F82" i="1"/>
  <c r="F81" i="1" s="1"/>
  <c r="E82" i="1"/>
  <c r="D82" i="1"/>
  <c r="L81" i="1"/>
  <c r="K81" i="1"/>
  <c r="I81" i="1"/>
  <c r="G81" i="1"/>
  <c r="E81" i="1"/>
  <c r="D81" i="1"/>
  <c r="M80" i="1"/>
  <c r="N80" i="1" s="1"/>
  <c r="L80" i="1"/>
  <c r="H80" i="1"/>
  <c r="L79" i="1"/>
  <c r="H79" i="1"/>
  <c r="L78" i="1"/>
  <c r="L75" i="1" s="1"/>
  <c r="K78" i="1"/>
  <c r="J78" i="1"/>
  <c r="I78" i="1"/>
  <c r="G78" i="1"/>
  <c r="G75" i="1" s="1"/>
  <c r="F78" i="1"/>
  <c r="F75" i="1" s="1"/>
  <c r="E78" i="1"/>
  <c r="D78" i="1"/>
  <c r="M77" i="1"/>
  <c r="L77" i="1"/>
  <c r="H77" i="1"/>
  <c r="L76" i="1"/>
  <c r="K76" i="1"/>
  <c r="J76" i="1"/>
  <c r="I76" i="1"/>
  <c r="I75" i="1" s="1"/>
  <c r="H76" i="1"/>
  <c r="G76" i="1"/>
  <c r="F76" i="1"/>
  <c r="E76" i="1"/>
  <c r="D76" i="1"/>
  <c r="K75" i="1"/>
  <c r="K71" i="1" s="1"/>
  <c r="J75" i="1"/>
  <c r="N73" i="1"/>
  <c r="N72" i="1" s="1"/>
  <c r="M73" i="1"/>
  <c r="M72" i="1" s="1"/>
  <c r="L73" i="1"/>
  <c r="L72" i="1" s="1"/>
  <c r="L71" i="1" s="1"/>
  <c r="K73" i="1"/>
  <c r="K72" i="1" s="1"/>
  <c r="J73" i="1"/>
  <c r="I73" i="1"/>
  <c r="H73" i="1"/>
  <c r="G73" i="1"/>
  <c r="F73" i="1"/>
  <c r="E73" i="1"/>
  <c r="E72" i="1" s="1"/>
  <c r="D73" i="1"/>
  <c r="D72" i="1" s="1"/>
  <c r="J72" i="1"/>
  <c r="I72" i="1"/>
  <c r="H72" i="1"/>
  <c r="G72" i="1"/>
  <c r="F72" i="1"/>
  <c r="L69" i="1"/>
  <c r="L68" i="1" s="1"/>
  <c r="L67" i="1" s="1"/>
  <c r="L66" i="1" s="1"/>
  <c r="L65" i="1" s="1"/>
  <c r="H69" i="1"/>
  <c r="M69" i="1" s="1"/>
  <c r="K68" i="1"/>
  <c r="J68" i="1"/>
  <c r="I68" i="1"/>
  <c r="G68" i="1"/>
  <c r="G67" i="1" s="1"/>
  <c r="G66" i="1" s="1"/>
  <c r="F68" i="1"/>
  <c r="E68" i="1"/>
  <c r="E67" i="1" s="1"/>
  <c r="D68" i="1"/>
  <c r="D67" i="1" s="1"/>
  <c r="K67" i="1"/>
  <c r="J67" i="1"/>
  <c r="I67" i="1"/>
  <c r="F67" i="1"/>
  <c r="F66" i="1" s="1"/>
  <c r="K66" i="1"/>
  <c r="K65" i="1" s="1"/>
  <c r="J66" i="1"/>
  <c r="I66" i="1"/>
  <c r="I59" i="1" s="1"/>
  <c r="I58" i="1" s="1"/>
  <c r="E66" i="1"/>
  <c r="E65" i="1" s="1"/>
  <c r="D66" i="1"/>
  <c r="D65" i="1"/>
  <c r="L63" i="1"/>
  <c r="K63" i="1"/>
  <c r="F63" i="1"/>
  <c r="J62" i="1"/>
  <c r="K59" i="1"/>
  <c r="K58" i="1" s="1"/>
  <c r="D59" i="1"/>
  <c r="D58" i="1"/>
  <c r="M55" i="1"/>
  <c r="N55" i="1" s="1"/>
  <c r="L55" i="1"/>
  <c r="H55" i="1"/>
  <c r="O54" i="1"/>
  <c r="P54" i="1" s="1"/>
  <c r="N54" i="1"/>
  <c r="M54" i="1"/>
  <c r="M53" i="1" s="1"/>
  <c r="M52" i="1" s="1"/>
  <c r="L54" i="1"/>
  <c r="H54" i="1"/>
  <c r="L53" i="1"/>
  <c r="K53" i="1"/>
  <c r="J53" i="1"/>
  <c r="J44" i="1" s="1"/>
  <c r="J43" i="1" s="1"/>
  <c r="J42" i="1" s="1"/>
  <c r="O42" i="1" s="1"/>
  <c r="I53" i="1"/>
  <c r="H53" i="1"/>
  <c r="H52" i="1" s="1"/>
  <c r="G53" i="1"/>
  <c r="G52" i="1" s="1"/>
  <c r="F53" i="1"/>
  <c r="E53" i="1"/>
  <c r="D53" i="1"/>
  <c r="L52" i="1"/>
  <c r="K52" i="1"/>
  <c r="J52" i="1"/>
  <c r="F52" i="1"/>
  <c r="E52" i="1"/>
  <c r="D52" i="1"/>
  <c r="N52" i="1" s="1"/>
  <c r="P51" i="1"/>
  <c r="L51" i="1"/>
  <c r="H51" i="1"/>
  <c r="L50" i="1"/>
  <c r="L49" i="1" s="1"/>
  <c r="K50" i="1"/>
  <c r="J50" i="1"/>
  <c r="I50" i="1"/>
  <c r="G50" i="1"/>
  <c r="G49" i="1" s="1"/>
  <c r="F50" i="1"/>
  <c r="F49" i="1" s="1"/>
  <c r="F44" i="1" s="1"/>
  <c r="F43" i="1" s="1"/>
  <c r="F42" i="1" s="1"/>
  <c r="E50" i="1"/>
  <c r="E49" i="1" s="1"/>
  <c r="D50" i="1"/>
  <c r="D49" i="1" s="1"/>
  <c r="P49" i="1"/>
  <c r="K49" i="1"/>
  <c r="J49" i="1"/>
  <c r="I49" i="1"/>
  <c r="O48" i="1"/>
  <c r="L48" i="1"/>
  <c r="L46" i="1" s="1"/>
  <c r="L45" i="1" s="1"/>
  <c r="H48" i="1"/>
  <c r="M48" i="1" s="1"/>
  <c r="O47" i="1"/>
  <c r="L47" i="1"/>
  <c r="H47" i="1"/>
  <c r="M47" i="1" s="1"/>
  <c r="N47" i="1" s="1"/>
  <c r="K46" i="1"/>
  <c r="J46" i="1"/>
  <c r="I46" i="1"/>
  <c r="G46" i="1"/>
  <c r="G45" i="1" s="1"/>
  <c r="F46" i="1"/>
  <c r="E46" i="1"/>
  <c r="E45" i="1" s="1"/>
  <c r="D46" i="1"/>
  <c r="D45" i="1" s="1"/>
  <c r="K45" i="1"/>
  <c r="J45" i="1"/>
  <c r="I45" i="1"/>
  <c r="F45" i="1"/>
  <c r="K44" i="1"/>
  <c r="K43" i="1" s="1"/>
  <c r="K42" i="1" s="1"/>
  <c r="E44" i="1"/>
  <c r="P43" i="1"/>
  <c r="E43" i="1"/>
  <c r="E42" i="1" s="1"/>
  <c r="L41" i="1"/>
  <c r="M41" i="1" s="1"/>
  <c r="N41" i="1" s="1"/>
  <c r="H41" i="1"/>
  <c r="L40" i="1"/>
  <c r="L39" i="1" s="1"/>
  <c r="L38" i="1" s="1"/>
  <c r="L37" i="1" s="1"/>
  <c r="L36" i="1" s="1"/>
  <c r="L35" i="1" s="1"/>
  <c r="H40" i="1"/>
  <c r="K39" i="1"/>
  <c r="J39" i="1"/>
  <c r="I39" i="1"/>
  <c r="G39" i="1"/>
  <c r="F39" i="1"/>
  <c r="F38" i="1" s="1"/>
  <c r="F37" i="1" s="1"/>
  <c r="F36" i="1" s="1"/>
  <c r="F35" i="1" s="1"/>
  <c r="E39" i="1"/>
  <c r="E38" i="1" s="1"/>
  <c r="E37" i="1" s="1"/>
  <c r="E36" i="1" s="1"/>
  <c r="E35" i="1" s="1"/>
  <c r="D39" i="1"/>
  <c r="K38" i="1"/>
  <c r="J38" i="1"/>
  <c r="I38" i="1"/>
  <c r="I37" i="1" s="1"/>
  <c r="I36" i="1" s="1"/>
  <c r="G38" i="1"/>
  <c r="G37" i="1" s="1"/>
  <c r="G36" i="1" s="1"/>
  <c r="G35" i="1" s="1"/>
  <c r="D38" i="1"/>
  <c r="K37" i="1"/>
  <c r="K36" i="1" s="1"/>
  <c r="J37" i="1"/>
  <c r="J36" i="1" s="1"/>
  <c r="K35" i="1"/>
  <c r="J35" i="1"/>
  <c r="O35" i="1" s="1"/>
  <c r="I35" i="1"/>
  <c r="L34" i="1"/>
  <c r="M34" i="1" s="1"/>
  <c r="N34" i="1" s="1"/>
  <c r="H34" i="1"/>
  <c r="L33" i="1"/>
  <c r="M33" i="1" s="1"/>
  <c r="N33" i="1" s="1"/>
  <c r="H33" i="1"/>
  <c r="L32" i="1"/>
  <c r="M32" i="1" s="1"/>
  <c r="N32" i="1" s="1"/>
  <c r="H32" i="1"/>
  <c r="L31" i="1"/>
  <c r="L29" i="1" s="1"/>
  <c r="L28" i="1" s="1"/>
  <c r="L27" i="1" s="1"/>
  <c r="L26" i="1" s="1"/>
  <c r="L25" i="1" s="1"/>
  <c r="H31" i="1"/>
  <c r="H29" i="1" s="1"/>
  <c r="H28" i="1" s="1"/>
  <c r="H27" i="1" s="1"/>
  <c r="H26" i="1" s="1"/>
  <c r="H25" i="1" s="1"/>
  <c r="M30" i="1"/>
  <c r="N30" i="1" s="1"/>
  <c r="L30" i="1"/>
  <c r="H30" i="1"/>
  <c r="K29" i="1"/>
  <c r="K28" i="1" s="1"/>
  <c r="K27" i="1" s="1"/>
  <c r="K26" i="1" s="1"/>
  <c r="K25" i="1" s="1"/>
  <c r="J29" i="1"/>
  <c r="J28" i="1" s="1"/>
  <c r="J27" i="1" s="1"/>
  <c r="J26" i="1" s="1"/>
  <c r="J25" i="1" s="1"/>
  <c r="I29" i="1"/>
  <c r="I28" i="1" s="1"/>
  <c r="G29" i="1"/>
  <c r="F29" i="1"/>
  <c r="E29" i="1"/>
  <c r="D29" i="1"/>
  <c r="D28" i="1" s="1"/>
  <c r="G28" i="1"/>
  <c r="F28" i="1"/>
  <c r="E28" i="1"/>
  <c r="E27" i="1" s="1"/>
  <c r="I27" i="1"/>
  <c r="G27" i="1"/>
  <c r="G26" i="1" s="1"/>
  <c r="F27" i="1"/>
  <c r="F26" i="1" s="1"/>
  <c r="F25" i="1" s="1"/>
  <c r="I26" i="1"/>
  <c r="E26" i="1"/>
  <c r="E25" i="1" s="1"/>
  <c r="O25" i="1"/>
  <c r="I25" i="1"/>
  <c r="G25" i="1"/>
  <c r="L24" i="1"/>
  <c r="H24" i="1"/>
  <c r="H23" i="1" s="1"/>
  <c r="H22" i="1" s="1"/>
  <c r="H21" i="1" s="1"/>
  <c r="L23" i="1"/>
  <c r="L22" i="1" s="1"/>
  <c r="L21" i="1" s="1"/>
  <c r="K23" i="1"/>
  <c r="J23" i="1"/>
  <c r="I23" i="1"/>
  <c r="G23" i="1"/>
  <c r="F23" i="1"/>
  <c r="F22" i="1" s="1"/>
  <c r="F21" i="1" s="1"/>
  <c r="F20" i="1" s="1"/>
  <c r="F19" i="1" s="1"/>
  <c r="E23" i="1"/>
  <c r="E22" i="1" s="1"/>
  <c r="E21" i="1" s="1"/>
  <c r="D23" i="1"/>
  <c r="D22" i="1" s="1"/>
  <c r="K22" i="1"/>
  <c r="J22" i="1"/>
  <c r="I22" i="1"/>
  <c r="I21" i="1" s="1"/>
  <c r="G22" i="1"/>
  <c r="G21" i="1" s="1"/>
  <c r="K21" i="1"/>
  <c r="J21" i="1"/>
  <c r="J15" i="1" s="1"/>
  <c r="J14" i="1" s="1"/>
  <c r="K20" i="1"/>
  <c r="I20" i="1"/>
  <c r="I19" i="1" s="1"/>
  <c r="K19" i="1"/>
  <c r="N18" i="1"/>
  <c r="M18" i="1"/>
  <c r="L18" i="1"/>
  <c r="K18" i="1"/>
  <c r="J18" i="1"/>
  <c r="I18" i="1"/>
  <c r="H18" i="1"/>
  <c r="G18" i="1"/>
  <c r="F18" i="1"/>
  <c r="E18" i="1"/>
  <c r="D18" i="1"/>
  <c r="M17" i="1"/>
  <c r="L17" i="1"/>
  <c r="K17" i="1"/>
  <c r="J17" i="1"/>
  <c r="I17" i="1"/>
  <c r="H17" i="1"/>
  <c r="G17" i="1"/>
  <c r="F17" i="1"/>
  <c r="E17" i="1"/>
  <c r="D17" i="1"/>
  <c r="N17" i="1" s="1"/>
  <c r="M16" i="1"/>
  <c r="L16" i="1"/>
  <c r="K16" i="1"/>
  <c r="J16" i="1"/>
  <c r="I16" i="1"/>
  <c r="H16" i="1"/>
  <c r="G16" i="1"/>
  <c r="F16" i="1"/>
  <c r="E16" i="1"/>
  <c r="D16" i="1"/>
  <c r="N16" i="1" s="1"/>
  <c r="K70" i="1" l="1"/>
  <c r="K64" i="1" s="1"/>
  <c r="K61" i="1"/>
  <c r="G173" i="1"/>
  <c r="G172" i="1" s="1"/>
  <c r="G171" i="1" s="1"/>
  <c r="G170" i="1" s="1"/>
  <c r="G178" i="1"/>
  <c r="G177" i="1" s="1"/>
  <c r="G176" i="1" s="1"/>
  <c r="D27" i="1"/>
  <c r="L61" i="1"/>
  <c r="L70" i="1"/>
  <c r="H20" i="1"/>
  <c r="H19" i="1" s="1"/>
  <c r="L64" i="1"/>
  <c r="E20" i="1"/>
  <c r="E19" i="1" s="1"/>
  <c r="E15" i="1"/>
  <c r="E14" i="1" s="1"/>
  <c r="G20" i="1"/>
  <c r="G19" i="1" s="1"/>
  <c r="K115" i="1"/>
  <c r="K62" i="1"/>
  <c r="L225" i="1"/>
  <c r="L223" i="1" s="1"/>
  <c r="L222" i="1" s="1"/>
  <c r="L221" i="1" s="1"/>
  <c r="L232" i="1"/>
  <c r="L231" i="1" s="1"/>
  <c r="L230" i="1" s="1"/>
  <c r="N69" i="1"/>
  <c r="N68" i="1" s="1"/>
  <c r="N67" i="1" s="1"/>
  <c r="N66" i="1" s="1"/>
  <c r="M68" i="1"/>
  <c r="M67" i="1" s="1"/>
  <c r="M66" i="1" s="1"/>
  <c r="E71" i="1"/>
  <c r="N77" i="1"/>
  <c r="N76" i="1" s="1"/>
  <c r="M76" i="1"/>
  <c r="N98" i="1"/>
  <c r="M108" i="1"/>
  <c r="L107" i="1"/>
  <c r="L106" i="1" s="1"/>
  <c r="L101" i="1" s="1"/>
  <c r="N262" i="1"/>
  <c r="D256" i="1"/>
  <c r="D255" i="1" s="1"/>
  <c r="D250" i="1" s="1"/>
  <c r="D249" i="1" s="1"/>
  <c r="D248" i="1" s="1"/>
  <c r="D247" i="1" s="1"/>
  <c r="N113" i="1"/>
  <c r="M112" i="1"/>
  <c r="M111" i="1" s="1"/>
  <c r="L286" i="1"/>
  <c r="M288" i="1"/>
  <c r="H101" i="1"/>
  <c r="M168" i="1"/>
  <c r="N169" i="1"/>
  <c r="N168" i="1" s="1"/>
  <c r="I232" i="1"/>
  <c r="I231" i="1" s="1"/>
  <c r="I230" i="1" s="1"/>
  <c r="J20" i="1"/>
  <c r="J19" i="1" s="1"/>
  <c r="F59" i="1"/>
  <c r="F58" i="1" s="1"/>
  <c r="F65" i="1"/>
  <c r="G65" i="1"/>
  <c r="G59" i="1"/>
  <c r="G58" i="1" s="1"/>
  <c r="I93" i="1"/>
  <c r="E153" i="1"/>
  <c r="I173" i="1"/>
  <c r="I172" i="1" s="1"/>
  <c r="I171" i="1" s="1"/>
  <c r="I170" i="1" s="1"/>
  <c r="I178" i="1"/>
  <c r="I177" i="1" s="1"/>
  <c r="I176" i="1" s="1"/>
  <c r="K225" i="1"/>
  <c r="K223" i="1" s="1"/>
  <c r="K222" i="1" s="1"/>
  <c r="K221" i="1" s="1"/>
  <c r="K232" i="1"/>
  <c r="K231" i="1" s="1"/>
  <c r="K230" i="1" s="1"/>
  <c r="F15" i="1"/>
  <c r="F14" i="1" s="1"/>
  <c r="M31" i="1"/>
  <c r="I65" i="1"/>
  <c r="H68" i="1"/>
  <c r="H67" i="1" s="1"/>
  <c r="H66" i="1" s="1"/>
  <c r="J109" i="1"/>
  <c r="J134" i="1"/>
  <c r="J132" i="1" s="1"/>
  <c r="J128" i="1" s="1"/>
  <c r="J140" i="1"/>
  <c r="J138" i="1" s="1"/>
  <c r="J136" i="1" s="1"/>
  <c r="J135" i="1" s="1"/>
  <c r="O135" i="1" s="1"/>
  <c r="J171" i="1"/>
  <c r="J170" i="1" s="1"/>
  <c r="D21" i="1"/>
  <c r="H39" i="1"/>
  <c r="H38" i="1" s="1"/>
  <c r="H37" i="1" s="1"/>
  <c r="H36" i="1" s="1"/>
  <c r="H35" i="1" s="1"/>
  <c r="M40" i="1"/>
  <c r="M46" i="1"/>
  <c r="N48" i="1"/>
  <c r="N46" i="1" s="1"/>
  <c r="M51" i="1"/>
  <c r="H50" i="1"/>
  <c r="H49" i="1" s="1"/>
  <c r="N124" i="1"/>
  <c r="D130" i="1"/>
  <c r="D128" i="1" s="1"/>
  <c r="D127" i="1" s="1"/>
  <c r="D126" i="1" s="1"/>
  <c r="D148" i="1"/>
  <c r="D147" i="1" s="1"/>
  <c r="D146" i="1" s="1"/>
  <c r="H150" i="1"/>
  <c r="H149" i="1" s="1"/>
  <c r="M151" i="1"/>
  <c r="N151" i="1" s="1"/>
  <c r="M154" i="1"/>
  <c r="N155" i="1"/>
  <c r="N154" i="1" s="1"/>
  <c r="F175" i="1"/>
  <c r="F174" i="1" s="1"/>
  <c r="F216" i="1"/>
  <c r="F206" i="1" s="1"/>
  <c r="F205" i="1" s="1"/>
  <c r="D37" i="1"/>
  <c r="D62" i="1"/>
  <c r="D100" i="1"/>
  <c r="N229" i="1"/>
  <c r="M227" i="1"/>
  <c r="E232" i="1"/>
  <c r="E231" i="1" s="1"/>
  <c r="E230" i="1" s="1"/>
  <c r="J65" i="1"/>
  <c r="J59" i="1"/>
  <c r="J58" i="1" s="1"/>
  <c r="F71" i="1"/>
  <c r="H99" i="1"/>
  <c r="E97" i="1"/>
  <c r="E96" i="1" s="1"/>
  <c r="E95" i="1" s="1"/>
  <c r="E94" i="1" s="1"/>
  <c r="N125" i="1"/>
  <c r="M124" i="1"/>
  <c r="M123" i="1" s="1"/>
  <c r="M122" i="1" s="1"/>
  <c r="M63" i="1" s="1"/>
  <c r="N150" i="1"/>
  <c r="N149" i="1" s="1"/>
  <c r="M187" i="1"/>
  <c r="N188" i="1"/>
  <c r="I71" i="1"/>
  <c r="N114" i="1"/>
  <c r="D138" i="1"/>
  <c r="M195" i="1"/>
  <c r="H194" i="1"/>
  <c r="H193" i="1" s="1"/>
  <c r="J71" i="1"/>
  <c r="D75" i="1"/>
  <c r="D71" i="1" s="1"/>
  <c r="I100" i="1"/>
  <c r="I62" i="1"/>
  <c r="K109" i="1"/>
  <c r="K140" i="1"/>
  <c r="K138" i="1" s="1"/>
  <c r="K136" i="1" s="1"/>
  <c r="K135" i="1" s="1"/>
  <c r="K134" i="1"/>
  <c r="K132" i="1" s="1"/>
  <c r="J13" i="1"/>
  <c r="J12" i="1" s="1"/>
  <c r="L20" i="1"/>
  <c r="L19" i="1" s="1"/>
  <c r="L44" i="1"/>
  <c r="L43" i="1" s="1"/>
  <c r="L42" i="1" s="1"/>
  <c r="I52" i="1"/>
  <c r="I44" i="1"/>
  <c r="I43" i="1" s="1"/>
  <c r="I42" i="1" s="1"/>
  <c r="H88" i="1"/>
  <c r="H85" i="1" s="1"/>
  <c r="M89" i="1"/>
  <c r="N92" i="1"/>
  <c r="N91" i="1" s="1"/>
  <c r="N90" i="1" s="1"/>
  <c r="M91" i="1"/>
  <c r="M90" i="1" s="1"/>
  <c r="K93" i="1"/>
  <c r="O93" i="1" s="1"/>
  <c r="L109" i="1"/>
  <c r="N118" i="1"/>
  <c r="N117" i="1" s="1"/>
  <c r="L128" i="1"/>
  <c r="L127" i="1" s="1"/>
  <c r="L126" i="1" s="1"/>
  <c r="K15" i="1"/>
  <c r="K14" i="1" s="1"/>
  <c r="D44" i="1"/>
  <c r="D43" i="1" s="1"/>
  <c r="D42" i="1" s="1"/>
  <c r="M79" i="1"/>
  <c r="H78" i="1"/>
  <c r="H75" i="1" s="1"/>
  <c r="H71" i="1" s="1"/>
  <c r="F130" i="1"/>
  <c r="D179" i="1"/>
  <c r="M204" i="1"/>
  <c r="L203" i="1"/>
  <c r="N227" i="1"/>
  <c r="F101" i="1"/>
  <c r="N120" i="1"/>
  <c r="M166" i="1"/>
  <c r="N166" i="1" s="1"/>
  <c r="O247" i="1"/>
  <c r="M277" i="1"/>
  <c r="M24" i="1"/>
  <c r="N53" i="1"/>
  <c r="G71" i="1"/>
  <c r="E75" i="1"/>
  <c r="M83" i="1"/>
  <c r="G148" i="1"/>
  <c r="G147" i="1" s="1"/>
  <c r="G146" i="1" s="1"/>
  <c r="I148" i="1"/>
  <c r="I147" i="1" s="1"/>
  <c r="I146" i="1" s="1"/>
  <c r="H160" i="1"/>
  <c r="H153" i="1" s="1"/>
  <c r="M161" i="1"/>
  <c r="K178" i="1"/>
  <c r="K177" i="1" s="1"/>
  <c r="K176" i="1" s="1"/>
  <c r="O176" i="1" s="1"/>
  <c r="K173" i="1"/>
  <c r="K172" i="1" s="1"/>
  <c r="K171" i="1" s="1"/>
  <c r="K170" i="1" s="1"/>
  <c r="F178" i="1"/>
  <c r="F177" i="1" s="1"/>
  <c r="F176" i="1" s="1"/>
  <c r="F173" i="1"/>
  <c r="F172" i="1" s="1"/>
  <c r="M197" i="1"/>
  <c r="E175" i="1"/>
  <c r="E174" i="1" s="1"/>
  <c r="E171" i="1" s="1"/>
  <c r="E170" i="1" s="1"/>
  <c r="E216" i="1"/>
  <c r="E206" i="1" s="1"/>
  <c r="E205" i="1" s="1"/>
  <c r="M242" i="1"/>
  <c r="N242" i="1" s="1"/>
  <c r="N241" i="1" s="1"/>
  <c r="H241" i="1"/>
  <c r="H240" i="1" s="1"/>
  <c r="N259" i="1"/>
  <c r="N258" i="1" s="1"/>
  <c r="N264" i="1"/>
  <c r="M263" i="1"/>
  <c r="M262" i="1" s="1"/>
  <c r="H270" i="1"/>
  <c r="H269" i="1" s="1"/>
  <c r="H268" i="1" s="1"/>
  <c r="H267" i="1" s="1"/>
  <c r="L307" i="1"/>
  <c r="L315" i="1" s="1"/>
  <c r="M309" i="1"/>
  <c r="M150" i="1"/>
  <c r="M149" i="1" s="1"/>
  <c r="F153" i="1"/>
  <c r="F134" i="1" s="1"/>
  <c r="F132" i="1" s="1"/>
  <c r="G44" i="1"/>
  <c r="G43" i="1" s="1"/>
  <c r="G42" i="1" s="1"/>
  <c r="M120" i="1"/>
  <c r="M117" i="1" s="1"/>
  <c r="M116" i="1" s="1"/>
  <c r="N121" i="1"/>
  <c r="D123" i="1"/>
  <c r="L140" i="1"/>
  <c r="L138" i="1" s="1"/>
  <c r="L136" i="1" s="1"/>
  <c r="L135" i="1" s="1"/>
  <c r="K148" i="1"/>
  <c r="K147" i="1" s="1"/>
  <c r="K146" i="1" s="1"/>
  <c r="K130" i="1"/>
  <c r="K128" i="1" s="1"/>
  <c r="K127" i="1" s="1"/>
  <c r="K126" i="1" s="1"/>
  <c r="D192" i="1"/>
  <c r="D191" i="1" s="1"/>
  <c r="D190" i="1" s="1"/>
  <c r="D189" i="1" s="1"/>
  <c r="M213" i="1"/>
  <c r="M212" i="1" s="1"/>
  <c r="N214" i="1"/>
  <c r="N213" i="1" s="1"/>
  <c r="N212" i="1" s="1"/>
  <c r="H219" i="1"/>
  <c r="H218" i="1" s="1"/>
  <c r="H217" i="1" s="1"/>
  <c r="M220" i="1"/>
  <c r="N246" i="1"/>
  <c r="N245" i="1" s="1"/>
  <c r="J270" i="1"/>
  <c r="J269" i="1" s="1"/>
  <c r="J268" i="1" s="1"/>
  <c r="J267" i="1" s="1"/>
  <c r="O267" i="1" s="1"/>
  <c r="H256" i="1"/>
  <c r="H255" i="1" s="1"/>
  <c r="H250" i="1" s="1"/>
  <c r="H249" i="1" s="1"/>
  <c r="H248" i="1" s="1"/>
  <c r="H247" i="1" s="1"/>
  <c r="M257" i="1"/>
  <c r="H307" i="1"/>
  <c r="H315" i="1" s="1"/>
  <c r="M308" i="1"/>
  <c r="M307" i="1" s="1"/>
  <c r="M315" i="1" s="1"/>
  <c r="D206" i="1"/>
  <c r="D205" i="1" s="1"/>
  <c r="G101" i="1"/>
  <c r="M104" i="1"/>
  <c r="M182" i="1"/>
  <c r="H181" i="1"/>
  <c r="H180" i="1" s="1"/>
  <c r="H179" i="1" s="1"/>
  <c r="H46" i="1"/>
  <c r="H91" i="1"/>
  <c r="H90" i="1" s="1"/>
  <c r="D93" i="1"/>
  <c r="E109" i="1"/>
  <c r="I130" i="1"/>
  <c r="I128" i="1" s="1"/>
  <c r="I127" i="1" s="1"/>
  <c r="I126" i="1" s="1"/>
  <c r="H142" i="1"/>
  <c r="H235" i="1"/>
  <c r="H234" i="1" s="1"/>
  <c r="M236" i="1"/>
  <c r="M274" i="1"/>
  <c r="E101" i="1"/>
  <c r="N112" i="1"/>
  <c r="H210" i="1"/>
  <c r="H209" i="1" s="1"/>
  <c r="H208" i="1" s="1"/>
  <c r="H207" i="1" s="1"/>
  <c r="M211" i="1"/>
  <c r="E270" i="1"/>
  <c r="E269" i="1" s="1"/>
  <c r="E268" i="1" s="1"/>
  <c r="E267" i="1" s="1"/>
  <c r="L97" i="1"/>
  <c r="L96" i="1" s="1"/>
  <c r="L95" i="1" s="1"/>
  <c r="M143" i="1"/>
  <c r="J153" i="1"/>
  <c r="J148" i="1" s="1"/>
  <c r="J147" i="1" s="1"/>
  <c r="J146" i="1" s="1"/>
  <c r="O146" i="1" s="1"/>
  <c r="M185" i="1"/>
  <c r="M201" i="1"/>
  <c r="N202" i="1"/>
  <c r="N201" i="1" s="1"/>
  <c r="J233" i="1"/>
  <c r="M238" i="1"/>
  <c r="N238" i="1" s="1"/>
  <c r="N244" i="1"/>
  <c r="M265" i="1"/>
  <c r="N265" i="1" s="1"/>
  <c r="H192" i="1"/>
  <c r="H191" i="1" s="1"/>
  <c r="H190" i="1" s="1"/>
  <c r="H189" i="1" s="1"/>
  <c r="J206" i="1"/>
  <c r="J205" i="1" s="1"/>
  <c r="N263" i="1"/>
  <c r="M305" i="1"/>
  <c r="M145" i="1"/>
  <c r="N145" i="1" s="1"/>
  <c r="M165" i="1"/>
  <c r="K208" i="1"/>
  <c r="K207" i="1" s="1"/>
  <c r="K206" i="1" s="1"/>
  <c r="K205" i="1" s="1"/>
  <c r="L216" i="1"/>
  <c r="L206" i="1" s="1"/>
  <c r="L205" i="1" s="1"/>
  <c r="L175" i="1"/>
  <c r="L174" i="1" s="1"/>
  <c r="H302" i="1"/>
  <c r="M303" i="1"/>
  <c r="M302" i="1" s="1"/>
  <c r="F233" i="1"/>
  <c r="M282" i="1"/>
  <c r="M290" i="1"/>
  <c r="F315" i="1"/>
  <c r="O315" i="1" s="1"/>
  <c r="I270" i="1"/>
  <c r="I269" i="1" s="1"/>
  <c r="I268" i="1" s="1"/>
  <c r="I267" i="1" s="1"/>
  <c r="H291" i="1"/>
  <c r="H299" i="1" s="1"/>
  <c r="M292" i="1"/>
  <c r="M291" i="1" s="1"/>
  <c r="L197" i="1"/>
  <c r="L291" i="1"/>
  <c r="L299" i="1" s="1"/>
  <c r="D233" i="1"/>
  <c r="G270" i="1"/>
  <c r="G269" i="1" s="1"/>
  <c r="G268" i="1" s="1"/>
  <c r="G267" i="1" s="1"/>
  <c r="M273" i="1"/>
  <c r="N273" i="1" s="1"/>
  <c r="M115" i="1" l="1"/>
  <c r="N116" i="1"/>
  <c r="L62" i="1"/>
  <c r="L100" i="1"/>
  <c r="D61" i="1"/>
  <c r="D70" i="1"/>
  <c r="D64" i="1" s="1"/>
  <c r="J127" i="1"/>
  <c r="J126" i="1" s="1"/>
  <c r="J10" i="1"/>
  <c r="J9" i="1" s="1"/>
  <c r="H61" i="1"/>
  <c r="H70" i="1"/>
  <c r="N45" i="1"/>
  <c r="M103" i="1"/>
  <c r="M102" i="1" s="1"/>
  <c r="N104" i="1"/>
  <c r="N103" i="1" s="1"/>
  <c r="N102" i="1" s="1"/>
  <c r="G61" i="1"/>
  <c r="G60" i="1" s="1"/>
  <c r="G11" i="1" s="1"/>
  <c r="G70" i="1"/>
  <c r="G64" i="1" s="1"/>
  <c r="F100" i="1"/>
  <c r="F93" i="1" s="1"/>
  <c r="F62" i="1"/>
  <c r="D136" i="1"/>
  <c r="G100" i="1"/>
  <c r="G93" i="1" s="1"/>
  <c r="G62" i="1"/>
  <c r="N220" i="1"/>
  <c r="M219" i="1"/>
  <c r="N79" i="1"/>
  <c r="N78" i="1" s="1"/>
  <c r="M78" i="1"/>
  <c r="L15" i="1"/>
  <c r="L14" i="1" s="1"/>
  <c r="N40" i="1"/>
  <c r="M39" i="1"/>
  <c r="M75" i="1"/>
  <c r="D26" i="1"/>
  <c r="O205" i="1"/>
  <c r="E62" i="1"/>
  <c r="E100" i="1"/>
  <c r="N24" i="1"/>
  <c r="M23" i="1"/>
  <c r="I70" i="1"/>
  <c r="I64" i="1" s="1"/>
  <c r="I61" i="1"/>
  <c r="I60" i="1" s="1"/>
  <c r="H100" i="1"/>
  <c r="H62" i="1"/>
  <c r="M164" i="1"/>
  <c r="N165" i="1"/>
  <c r="N164" i="1" s="1"/>
  <c r="N274" i="1"/>
  <c r="N272" i="1" s="1"/>
  <c r="N271" i="1" s="1"/>
  <c r="M272" i="1"/>
  <c r="M271" i="1" s="1"/>
  <c r="N277" i="1"/>
  <c r="N276" i="1" s="1"/>
  <c r="N275" i="1" s="1"/>
  <c r="M276" i="1"/>
  <c r="M275" i="1" s="1"/>
  <c r="M203" i="1"/>
  <c r="N203" i="1" s="1"/>
  <c r="N204" i="1"/>
  <c r="F70" i="1"/>
  <c r="F61" i="1"/>
  <c r="F60" i="1" s="1"/>
  <c r="F11" i="1" s="1"/>
  <c r="H59" i="1"/>
  <c r="H58" i="1" s="1"/>
  <c r="H65" i="1"/>
  <c r="H64" i="1" s="1"/>
  <c r="F64" i="1"/>
  <c r="E61" i="1"/>
  <c r="E70" i="1"/>
  <c r="E64" i="1" s="1"/>
  <c r="N282" i="1"/>
  <c r="N281" i="1" s="1"/>
  <c r="M281" i="1"/>
  <c r="M280" i="1" s="1"/>
  <c r="N280" i="1" s="1"/>
  <c r="M142" i="1"/>
  <c r="N143" i="1"/>
  <c r="D173" i="1"/>
  <c r="D172" i="1" s="1"/>
  <c r="D171" i="1" s="1"/>
  <c r="D170" i="1" s="1"/>
  <c r="D178" i="1"/>
  <c r="J70" i="1"/>
  <c r="J61" i="1"/>
  <c r="J60" i="1" s="1"/>
  <c r="J11" i="1" s="1"/>
  <c r="J57" i="1"/>
  <c r="J56" i="1" s="1"/>
  <c r="J283" i="1" s="1"/>
  <c r="N153" i="1"/>
  <c r="N148" i="1" s="1"/>
  <c r="N147" i="1" s="1"/>
  <c r="D20" i="1"/>
  <c r="D15" i="1"/>
  <c r="D14" i="1" s="1"/>
  <c r="M286" i="1"/>
  <c r="M65" i="1"/>
  <c r="K60" i="1"/>
  <c r="F225" i="1"/>
  <c r="F223" i="1" s="1"/>
  <c r="F222" i="1" s="1"/>
  <c r="F221" i="1" s="1"/>
  <c r="F232" i="1"/>
  <c r="F231" i="1" s="1"/>
  <c r="F230" i="1" s="1"/>
  <c r="L94" i="1"/>
  <c r="L59" i="1"/>
  <c r="L58" i="1" s="1"/>
  <c r="H233" i="1"/>
  <c r="H178" i="1"/>
  <c r="H177" i="1" s="1"/>
  <c r="H176" i="1" s="1"/>
  <c r="H173" i="1"/>
  <c r="H172" i="1" s="1"/>
  <c r="H171" i="1" s="1"/>
  <c r="H170" i="1" s="1"/>
  <c r="M256" i="1"/>
  <c r="M255" i="1" s="1"/>
  <c r="M250" i="1" s="1"/>
  <c r="M249" i="1" s="1"/>
  <c r="M248" i="1" s="1"/>
  <c r="M247" i="1" s="1"/>
  <c r="N257" i="1"/>
  <c r="N256" i="1" s="1"/>
  <c r="N255" i="1" s="1"/>
  <c r="N250" i="1" s="1"/>
  <c r="N249" i="1" s="1"/>
  <c r="N248" i="1" s="1"/>
  <c r="N247" i="1" s="1"/>
  <c r="M196" i="1"/>
  <c r="N197" i="1"/>
  <c r="N187" i="1"/>
  <c r="M186" i="1"/>
  <c r="N186" i="1" s="1"/>
  <c r="J64" i="1"/>
  <c r="O64" i="1" s="1"/>
  <c r="M153" i="1"/>
  <c r="M148" i="1" s="1"/>
  <c r="M147" i="1" s="1"/>
  <c r="M146" i="1" s="1"/>
  <c r="N146" i="1" s="1"/>
  <c r="M107" i="1"/>
  <c r="M106" i="1" s="1"/>
  <c r="N108" i="1"/>
  <c r="N107" i="1" s="1"/>
  <c r="N106" i="1" s="1"/>
  <c r="N65" i="1"/>
  <c r="M45" i="1"/>
  <c r="M44" i="1"/>
  <c r="M43" i="1" s="1"/>
  <c r="M42" i="1" s="1"/>
  <c r="E13" i="1"/>
  <c r="E12" i="1" s="1"/>
  <c r="N185" i="1"/>
  <c r="M184" i="1"/>
  <c r="M130" i="1"/>
  <c r="N161" i="1"/>
  <c r="N160" i="1" s="1"/>
  <c r="M160" i="1"/>
  <c r="H15" i="1"/>
  <c r="H14" i="1" s="1"/>
  <c r="M235" i="1"/>
  <c r="M234" i="1" s="1"/>
  <c r="N236" i="1"/>
  <c r="N235" i="1" s="1"/>
  <c r="L196" i="1"/>
  <c r="L192" i="1" s="1"/>
  <c r="N182" i="1"/>
  <c r="M181" i="1"/>
  <c r="F171" i="1"/>
  <c r="F170" i="1" s="1"/>
  <c r="M82" i="1"/>
  <c r="M81" i="1" s="1"/>
  <c r="N83" i="1"/>
  <c r="N82" i="1" s="1"/>
  <c r="N81" i="1" s="1"/>
  <c r="F148" i="1"/>
  <c r="F147" i="1" s="1"/>
  <c r="F146" i="1" s="1"/>
  <c r="N130" i="1"/>
  <c r="M241" i="1"/>
  <c r="M240" i="1" s="1"/>
  <c r="N240" i="1" s="1"/>
  <c r="M50" i="1"/>
  <c r="M49" i="1" s="1"/>
  <c r="N51" i="1"/>
  <c r="N50" i="1" s="1"/>
  <c r="N49" i="1" s="1"/>
  <c r="N44" i="1" s="1"/>
  <c r="N43" i="1" s="1"/>
  <c r="N42" i="1" s="1"/>
  <c r="N31" i="1"/>
  <c r="M29" i="1"/>
  <c r="E148" i="1"/>
  <c r="E147" i="1" s="1"/>
  <c r="E146" i="1" s="1"/>
  <c r="E134" i="1"/>
  <c r="E132" i="1" s="1"/>
  <c r="E128" i="1" s="1"/>
  <c r="E127" i="1" s="1"/>
  <c r="E126" i="1" s="1"/>
  <c r="M110" i="1"/>
  <c r="N111" i="1"/>
  <c r="G15" i="1"/>
  <c r="G14" i="1" s="1"/>
  <c r="F13" i="1"/>
  <c r="F12" i="1" s="1"/>
  <c r="E93" i="1"/>
  <c r="H216" i="1"/>
  <c r="H206" i="1" s="1"/>
  <c r="H205" i="1" s="1"/>
  <c r="H175" i="1"/>
  <c r="H174" i="1" s="1"/>
  <c r="M99" i="1"/>
  <c r="H97" i="1"/>
  <c r="H96" i="1" s="1"/>
  <c r="H95" i="1" s="1"/>
  <c r="H94" i="1" s="1"/>
  <c r="H93" i="1" s="1"/>
  <c r="N75" i="1"/>
  <c r="N123" i="1"/>
  <c r="D122" i="1"/>
  <c r="K10" i="1"/>
  <c r="K13" i="1"/>
  <c r="K12" i="1" s="1"/>
  <c r="G225" i="1"/>
  <c r="G223" i="1" s="1"/>
  <c r="G222" i="1" s="1"/>
  <c r="G221" i="1" s="1"/>
  <c r="D225" i="1"/>
  <c r="D223" i="1" s="1"/>
  <c r="D222" i="1" s="1"/>
  <c r="D221" i="1" s="1"/>
  <c r="D232" i="1"/>
  <c r="H44" i="1"/>
  <c r="H43" i="1" s="1"/>
  <c r="H42" i="1" s="1"/>
  <c r="H45" i="1"/>
  <c r="N89" i="1"/>
  <c r="N88" i="1" s="1"/>
  <c r="N85" i="1" s="1"/>
  <c r="M88" i="1"/>
  <c r="M85" i="1" s="1"/>
  <c r="M299" i="1"/>
  <c r="M316" i="1" s="1"/>
  <c r="J225" i="1"/>
  <c r="J223" i="1" s="1"/>
  <c r="J222" i="1" s="1"/>
  <c r="J221" i="1" s="1"/>
  <c r="J232" i="1"/>
  <c r="J231" i="1" s="1"/>
  <c r="J230" i="1" s="1"/>
  <c r="O230" i="1" s="1"/>
  <c r="N211" i="1"/>
  <c r="N210" i="1" s="1"/>
  <c r="N209" i="1" s="1"/>
  <c r="N208" i="1" s="1"/>
  <c r="N207" i="1" s="1"/>
  <c r="M210" i="1"/>
  <c r="M209" i="1" s="1"/>
  <c r="M208" i="1" s="1"/>
  <c r="M207" i="1" s="1"/>
  <c r="H134" i="1"/>
  <c r="H132" i="1" s="1"/>
  <c r="H140" i="1"/>
  <c r="H138" i="1" s="1"/>
  <c r="H136" i="1" s="1"/>
  <c r="H135" i="1" s="1"/>
  <c r="E59" i="1"/>
  <c r="E58" i="1" s="1"/>
  <c r="F128" i="1"/>
  <c r="F127" i="1" s="1"/>
  <c r="F126" i="1" s="1"/>
  <c r="N195" i="1"/>
  <c r="N194" i="1" s="1"/>
  <c r="N193" i="1" s="1"/>
  <c r="M194" i="1"/>
  <c r="M193" i="1" s="1"/>
  <c r="E225" i="1"/>
  <c r="E223" i="1" s="1"/>
  <c r="E222" i="1" s="1"/>
  <c r="E221" i="1" s="1"/>
  <c r="D36" i="1"/>
  <c r="H148" i="1"/>
  <c r="H147" i="1" s="1"/>
  <c r="H146" i="1" s="1"/>
  <c r="H130" i="1"/>
  <c r="H128" i="1" s="1"/>
  <c r="H127" i="1" s="1"/>
  <c r="H126" i="1" s="1"/>
  <c r="I15" i="1"/>
  <c r="I14" i="1" s="1"/>
  <c r="I225" i="1"/>
  <c r="I223" i="1" s="1"/>
  <c r="I222" i="1" s="1"/>
  <c r="I221" i="1" s="1"/>
  <c r="L60" i="1"/>
  <c r="L11" i="1" s="1"/>
  <c r="I13" i="1" l="1"/>
  <c r="I12" i="1" s="1"/>
  <c r="I10" i="1"/>
  <c r="I9" i="1" s="1"/>
  <c r="M183" i="1"/>
  <c r="N183" i="1" s="1"/>
  <c r="N184" i="1"/>
  <c r="M192" i="1"/>
  <c r="M191" i="1" s="1"/>
  <c r="M190" i="1" s="1"/>
  <c r="M189" i="1" s="1"/>
  <c r="N196" i="1"/>
  <c r="N192" i="1" s="1"/>
  <c r="N191" i="1" s="1"/>
  <c r="N190" i="1" s="1"/>
  <c r="N189" i="1" s="1"/>
  <c r="I11" i="1"/>
  <c r="I57" i="1"/>
  <c r="I56" i="1" s="1"/>
  <c r="M218" i="1"/>
  <c r="M217" i="1" s="1"/>
  <c r="N219" i="1"/>
  <c r="N218" i="1" s="1"/>
  <c r="N217" i="1" s="1"/>
  <c r="E57" i="1"/>
  <c r="E56" i="1" s="1"/>
  <c r="E283" i="1" s="1"/>
  <c r="K9" i="1"/>
  <c r="M233" i="1"/>
  <c r="N234" i="1"/>
  <c r="N233" i="1" s="1"/>
  <c r="N225" i="1" s="1"/>
  <c r="N223" i="1" s="1"/>
  <c r="N222" i="1" s="1"/>
  <c r="N221" i="1" s="1"/>
  <c r="D10" i="1"/>
  <c r="D13" i="1"/>
  <c r="D12" i="1" s="1"/>
  <c r="M71" i="1"/>
  <c r="N122" i="1"/>
  <c r="N63" i="1" s="1"/>
  <c r="D63" i="1"/>
  <c r="D60" i="1" s="1"/>
  <c r="D115" i="1"/>
  <c r="F10" i="1"/>
  <c r="F9" i="1" s="1"/>
  <c r="M28" i="1"/>
  <c r="N29" i="1"/>
  <c r="H13" i="1"/>
  <c r="H12" i="1" s="1"/>
  <c r="K11" i="1"/>
  <c r="K57" i="1"/>
  <c r="K56" i="1" s="1"/>
  <c r="K283" i="1" s="1"/>
  <c r="O283" i="1" s="1"/>
  <c r="D19" i="1"/>
  <c r="M270" i="1"/>
  <c r="M269" i="1" s="1"/>
  <c r="M268" i="1" s="1"/>
  <c r="M267" i="1" s="1"/>
  <c r="M22" i="1"/>
  <c r="N23" i="1"/>
  <c r="G57" i="1"/>
  <c r="G56" i="1" s="1"/>
  <c r="N101" i="1"/>
  <c r="F283" i="1"/>
  <c r="E10" i="1"/>
  <c r="M140" i="1"/>
  <c r="N142" i="1"/>
  <c r="N134" i="1" s="1"/>
  <c r="N132" i="1" s="1"/>
  <c r="N128" i="1" s="1"/>
  <c r="N127" i="1" s="1"/>
  <c r="N126" i="1" s="1"/>
  <c r="M134" i="1"/>
  <c r="M132" i="1" s="1"/>
  <c r="M128" i="1" s="1"/>
  <c r="M127" i="1" s="1"/>
  <c r="M126" i="1" s="1"/>
  <c r="N270" i="1"/>
  <c r="N269" i="1" s="1"/>
  <c r="N268" i="1" s="1"/>
  <c r="N267" i="1" s="1"/>
  <c r="M38" i="1"/>
  <c r="N39" i="1"/>
  <c r="M101" i="1"/>
  <c r="D35" i="1"/>
  <c r="N71" i="1"/>
  <c r="D135" i="1"/>
  <c r="D231" i="1"/>
  <c r="G13" i="1"/>
  <c r="G12" i="1" s="1"/>
  <c r="G10" i="1"/>
  <c r="G9" i="1" s="1"/>
  <c r="M180" i="1"/>
  <c r="N181" i="1"/>
  <c r="H225" i="1"/>
  <c r="H223" i="1" s="1"/>
  <c r="H222" i="1" s="1"/>
  <c r="H221" i="1" s="1"/>
  <c r="H232" i="1"/>
  <c r="H231" i="1" s="1"/>
  <c r="H230" i="1" s="1"/>
  <c r="L13" i="1"/>
  <c r="L12" i="1" s="1"/>
  <c r="N99" i="1"/>
  <c r="N97" i="1" s="1"/>
  <c r="M97" i="1"/>
  <c r="M96" i="1" s="1"/>
  <c r="L57" i="1"/>
  <c r="L56" i="1" s="1"/>
  <c r="F57" i="1"/>
  <c r="F56" i="1" s="1"/>
  <c r="N110" i="1"/>
  <c r="M109" i="1"/>
  <c r="L191" i="1"/>
  <c r="L190" i="1" s="1"/>
  <c r="L189" i="1" s="1"/>
  <c r="L173" i="1"/>
  <c r="L172" i="1" s="1"/>
  <c r="L171" i="1" s="1"/>
  <c r="L170" i="1" s="1"/>
  <c r="L93" i="1"/>
  <c r="D177" i="1"/>
  <c r="E60" i="1"/>
  <c r="E11" i="1" s="1"/>
  <c r="D25" i="1"/>
  <c r="H60" i="1"/>
  <c r="H11" i="1" s="1"/>
  <c r="D11" i="1" l="1"/>
  <c r="D57" i="1"/>
  <c r="D56" i="1" s="1"/>
  <c r="O12" i="1"/>
  <c r="M27" i="1"/>
  <c r="N28" i="1"/>
  <c r="M37" i="1"/>
  <c r="N38" i="1"/>
  <c r="M232" i="1"/>
  <c r="M225" i="1"/>
  <c r="M223" i="1" s="1"/>
  <c r="M222" i="1" s="1"/>
  <c r="M221" i="1" s="1"/>
  <c r="G283" i="1"/>
  <c r="D230" i="1"/>
  <c r="M138" i="1"/>
  <c r="N140" i="1"/>
  <c r="H10" i="1"/>
  <c r="H9" i="1" s="1"/>
  <c r="M216" i="1"/>
  <c r="M206" i="1" s="1"/>
  <c r="M205" i="1" s="1"/>
  <c r="M175" i="1"/>
  <c r="M174" i="1" s="1"/>
  <c r="L283" i="1"/>
  <c r="H283" i="1"/>
  <c r="D176" i="1"/>
  <c r="O126" i="1"/>
  <c r="M179" i="1"/>
  <c r="N180" i="1"/>
  <c r="N61" i="1"/>
  <c r="N60" i="1" s="1"/>
  <c r="N70" i="1"/>
  <c r="N64" i="1" s="1"/>
  <c r="N100" i="1"/>
  <c r="N62" i="1"/>
  <c r="N115" i="1"/>
  <c r="N109" i="1" s="1"/>
  <c r="D109" i="1"/>
  <c r="O56" i="1" s="1"/>
  <c r="N96" i="1"/>
  <c r="N95" i="1" s="1"/>
  <c r="M95" i="1"/>
  <c r="N216" i="1"/>
  <c r="N206" i="1" s="1"/>
  <c r="N205" i="1" s="1"/>
  <c r="N175" i="1"/>
  <c r="N174" i="1" s="1"/>
  <c r="L10" i="1"/>
  <c r="L9" i="1" s="1"/>
  <c r="M21" i="1"/>
  <c r="N22" i="1"/>
  <c r="M61" i="1"/>
  <c r="M70" i="1"/>
  <c r="M64" i="1" s="1"/>
  <c r="D283" i="1"/>
  <c r="M62" i="1"/>
  <c r="M100" i="1"/>
  <c r="E9" i="1"/>
  <c r="H57" i="1"/>
  <c r="H56" i="1" s="1"/>
  <c r="D9" i="1"/>
  <c r="I283" i="1"/>
  <c r="O170" i="1" l="1"/>
  <c r="M36" i="1"/>
  <c r="N37" i="1"/>
  <c r="N11" i="1"/>
  <c r="M94" i="1"/>
  <c r="M93" i="1" s="1"/>
  <c r="M59" i="1"/>
  <c r="M58" i="1" s="1"/>
  <c r="M57" i="1" s="1"/>
  <c r="M56" i="1" s="1"/>
  <c r="O221" i="1"/>
  <c r="N94" i="1"/>
  <c r="N93" i="1" s="1"/>
  <c r="N59" i="1"/>
  <c r="N58" i="1" s="1"/>
  <c r="N57" i="1" s="1"/>
  <c r="N56" i="1" s="1"/>
  <c r="M60" i="1"/>
  <c r="M11" i="1" s="1"/>
  <c r="O57" i="1"/>
  <c r="M136" i="1"/>
  <c r="N138" i="1"/>
  <c r="M26" i="1"/>
  <c r="N27" i="1"/>
  <c r="M178" i="1"/>
  <c r="M173" i="1"/>
  <c r="M172" i="1" s="1"/>
  <c r="M171" i="1" s="1"/>
  <c r="M170" i="1" s="1"/>
  <c r="N179" i="1"/>
  <c r="N173" i="1" s="1"/>
  <c r="N172" i="1" s="1"/>
  <c r="N171" i="1" s="1"/>
  <c r="N170" i="1" s="1"/>
  <c r="M15" i="1"/>
  <c r="M14" i="1" s="1"/>
  <c r="M20" i="1"/>
  <c r="N21" i="1"/>
  <c r="M231" i="1"/>
  <c r="N232" i="1"/>
  <c r="M230" i="1" l="1"/>
  <c r="N230" i="1" s="1"/>
  <c r="N231" i="1"/>
  <c r="M25" i="1"/>
  <c r="N25" i="1" s="1"/>
  <c r="N26" i="1"/>
  <c r="N15" i="1"/>
  <c r="N14" i="1" s="1"/>
  <c r="M19" i="1"/>
  <c r="N19" i="1" s="1"/>
  <c r="N20" i="1"/>
  <c r="M135" i="1"/>
  <c r="N135" i="1" s="1"/>
  <c r="N136" i="1"/>
  <c r="M10" i="1"/>
  <c r="M9" i="1" s="1"/>
  <c r="M13" i="1"/>
  <c r="M12" i="1" s="1"/>
  <c r="M283" i="1" s="1"/>
  <c r="M35" i="1"/>
  <c r="N35" i="1" s="1"/>
  <c r="N36" i="1"/>
  <c r="M177" i="1"/>
  <c r="N178" i="1"/>
  <c r="M176" i="1" l="1"/>
  <c r="N176" i="1" s="1"/>
  <c r="N177" i="1"/>
  <c r="N10" i="1"/>
  <c r="N9" i="1" s="1"/>
  <c r="N13" i="1"/>
  <c r="N12" i="1" s="1"/>
  <c r="N283" i="1" s="1"/>
</calcChain>
</file>

<file path=xl/sharedStrings.xml><?xml version="1.0" encoding="utf-8"?>
<sst xmlns="http://schemas.openxmlformats.org/spreadsheetml/2006/main" count="624" uniqueCount="324">
  <si>
    <t>LAPORAN PER PERIODE BENDAHARA PENGELUARAN PEMBANTU</t>
  </si>
  <si>
    <t>UNIT KERJA : P3DW KABUPATEN TASIKMALAYA</t>
  </si>
  <si>
    <t>April 2026</t>
  </si>
  <si>
    <t>NO</t>
  </si>
  <si>
    <t>Kode
Rekening</t>
  </si>
  <si>
    <t>Uraian</t>
  </si>
  <si>
    <t>Jumlah 
Anggaran</t>
  </si>
  <si>
    <t xml:space="preserve">SPJ - LS Barang &amp; Jasa </t>
  </si>
  <si>
    <t>SPJ   UP/GU/TU</t>
  </si>
  <si>
    <t>Jumlah SPJ
(LS+UP/GU/TU)
s.d. Bulan ini</t>
  </si>
  <si>
    <t>SISA PAGU ANGGARAN</t>
  </si>
  <si>
    <t>s.d. 
Bulan lalu</t>
  </si>
  <si>
    <t>Periode ke 1</t>
  </si>
  <si>
    <t>Periode ke 2</t>
  </si>
  <si>
    <t>s.d. 
Bulan ini</t>
  </si>
  <si>
    <t>8=5+6+7</t>
  </si>
  <si>
    <t>12=9+10+11</t>
  </si>
  <si>
    <t>13=8+12</t>
  </si>
  <si>
    <t>14=4-13</t>
  </si>
  <si>
    <t>5.</t>
  </si>
  <si>
    <t>BELANJA DAERAH</t>
  </si>
  <si>
    <t>5.1.</t>
  </si>
  <si>
    <t>BELANJA OPERASI</t>
  </si>
  <si>
    <t>5.2.</t>
  </si>
  <si>
    <t>BELANJA MODAL</t>
  </si>
  <si>
    <t>I</t>
  </si>
  <si>
    <t>5.02.01.1.06</t>
  </si>
  <si>
    <t>ADMINISTRASI UMUM PERANGKAT DAERAH</t>
  </si>
  <si>
    <t>5.1.02</t>
  </si>
  <si>
    <t>BELANJA BARANG DAN JASA</t>
  </si>
  <si>
    <t>5.1.03</t>
  </si>
  <si>
    <t>I.1</t>
  </si>
  <si>
    <t>5.02.01.1.06.01</t>
  </si>
  <si>
    <t>KEGIATAN PENYEDIAAN KOMPONEN INSTALASI LISTRIK/ PENERANGAN BANGUNAN KANTOR</t>
  </si>
  <si>
    <t>5.1</t>
  </si>
  <si>
    <t>Belanja Barang Dan Jasa</t>
  </si>
  <si>
    <t>5.1.02.01</t>
  </si>
  <si>
    <t>Belanja Barang</t>
  </si>
  <si>
    <t>5.1.02.01.01</t>
  </si>
  <si>
    <t>Belanja Barang Pakai Habis</t>
  </si>
  <si>
    <t>5.1.02.01.01.0031</t>
  </si>
  <si>
    <t>Belanja Alat/Bahan untuk Kegiatan Kantor-Alat Listrik</t>
  </si>
  <si>
    <t>I.2</t>
  </si>
  <si>
    <t>5.02.01.1.06.02</t>
  </si>
  <si>
    <t>PENYEDIAAN PERALATAN DAN PERLENGKAPAN KANTOR</t>
  </si>
  <si>
    <t>5.1.02.01.01.0009</t>
  </si>
  <si>
    <t>Belanja Bahan-Isi Tabung Pemadam Kebakaran</t>
  </si>
  <si>
    <t>5.1.02.01.01.0024</t>
  </si>
  <si>
    <t>Belanja Alat/Bahan untuk Kegiatan Kantor-Alat Tulis Kantor</t>
  </si>
  <si>
    <t>5.1.02.01.01.0025</t>
  </si>
  <si>
    <t>Belanja Alat/Bahan untuk Kegiatan Kantor- Kertas dan Cover</t>
  </si>
  <si>
    <t>5.1.02.01.01.0027</t>
  </si>
  <si>
    <t>Belanja Alat/Bahan untuk Kegiatan Kantor-Benda Pos</t>
  </si>
  <si>
    <t>5.1.02.01.01.0030</t>
  </si>
  <si>
    <t>Belanja Alat/Bahan untuk Kegiatan Kantor-Perabot Kantor</t>
  </si>
  <si>
    <t>I.3</t>
  </si>
  <si>
    <t>5.02.01.1.06.05</t>
  </si>
  <si>
    <t xml:space="preserve">KEGIATAN PENYEDIAAN BARANG CETAKAN DAN PENGGANDAAN KANTOR </t>
  </si>
  <si>
    <t>5.1.02.01.01.0026</t>
  </si>
  <si>
    <t>Belanja Alat/Bahan untuk Kegiatan Kantor-bahan Cetak</t>
  </si>
  <si>
    <t>I.4</t>
  </si>
  <si>
    <t>5.02.01.1.06.09</t>
  </si>
  <si>
    <t>KEGIATAN PENYELENGGARAAN RAPAT KOORDINASI DAN KONSULTASI SKPD KANTOR</t>
  </si>
  <si>
    <t>5.1.02.01.01.00043</t>
  </si>
  <si>
    <t>Belanja Natura dan Pakan-Natura</t>
  </si>
  <si>
    <t>5.1.02.01.01.00052</t>
  </si>
  <si>
    <t>Belanja Makan Dan Minuman Rapat</t>
  </si>
  <si>
    <t>5.1.02.02</t>
  </si>
  <si>
    <t>Belanja Jasa</t>
  </si>
  <si>
    <t>5.1.02.02.01</t>
  </si>
  <si>
    <t>Belanja Jasa Kantor</t>
  </si>
  <si>
    <t>5.1.02.02.01.00047</t>
  </si>
  <si>
    <t>Belanja Jasa Tenaga Administrasi</t>
  </si>
  <si>
    <t>5.1.02.04</t>
  </si>
  <si>
    <t>Belanja Perjalanan Dinas</t>
  </si>
  <si>
    <t>5.1.02.04.01</t>
  </si>
  <si>
    <t>Belanja Perjalanan Dinas Dalam Negeri</t>
  </si>
  <si>
    <t>5.1.02.04.01.0001</t>
  </si>
  <si>
    <t>Belanja Perjalanan Dinas Daerah Biasa</t>
  </si>
  <si>
    <t>5.1.02.04.01.0005</t>
  </si>
  <si>
    <t>Belanja Perjalanan Dinas Peket Meeting Luar Kota</t>
  </si>
  <si>
    <t>II</t>
  </si>
  <si>
    <t>5.02.01.1.07</t>
  </si>
  <si>
    <t xml:space="preserve">PENGADAAN BARANG MILIK DAERAH PENUNJANG URUSAN PEMERINTAH DAERAH </t>
  </si>
  <si>
    <t>5.2.02</t>
  </si>
  <si>
    <t>BELANJA MODAL PERALATAN DAN MESIN</t>
  </si>
  <si>
    <t>5.2.03</t>
  </si>
  <si>
    <t>Belanja Modal Gedung dan Bangunan</t>
  </si>
  <si>
    <t>Belanja Modal Alat Kantor dan Rumah Tangga</t>
  </si>
  <si>
    <t>2.1</t>
  </si>
  <si>
    <t>5.02.01.1.07.06</t>
  </si>
  <si>
    <t xml:space="preserve">KEGIATAN PENGADAAN PERALATAN DAN MESIN LAINNYA </t>
  </si>
  <si>
    <t>BELANJA BARANG</t>
  </si>
  <si>
    <t>BELANJA BARANG HABIS PAKAI</t>
  </si>
  <si>
    <t>5.1.02.01.01.0036</t>
  </si>
  <si>
    <t>Belanja Alat/Bahan untuk Kegiatan Kantor-Alat/Bahan untuk Kegiatan Kantor Lainnya</t>
  </si>
  <si>
    <t>5.2.02.01..</t>
  </si>
  <si>
    <t>Belanja Modal Alat Besar</t>
  </si>
  <si>
    <t>5.2.02.01.03.</t>
  </si>
  <si>
    <t>Belanja Modal Alat Bantu</t>
  </si>
  <si>
    <t>5.2.02.01.03.0005</t>
  </si>
  <si>
    <t>Belanja Modal Pompa</t>
  </si>
  <si>
    <t>5.2.02.05</t>
  </si>
  <si>
    <t>5.2.02.05.01</t>
  </si>
  <si>
    <t>Belanja Modal Alat Kantor</t>
  </si>
  <si>
    <t>5.2.02.05.01.0005</t>
  </si>
  <si>
    <t>Belanja Modal Alat Kantor Lainnya</t>
  </si>
  <si>
    <t>5.2.02.05.02.</t>
  </si>
  <si>
    <t>Belanja Modal Alat Rumah Tangga</t>
  </si>
  <si>
    <t>5.2.02.05.02.0004</t>
  </si>
  <si>
    <t>Belanja Modal Alat Pendingin</t>
  </si>
  <si>
    <t>5.2.02.05.02.0006</t>
  </si>
  <si>
    <t>Belanja Modal Alat Rumah Tangga Lainnya (Home Use)</t>
  </si>
  <si>
    <t>5.2.02.06..</t>
  </si>
  <si>
    <t>Belanja Modal Alat Studio, Komunikasi, dan
Pemancar</t>
  </si>
  <si>
    <t>5.2.02.06.01.</t>
  </si>
  <si>
    <t>Belanja Modal Alat Studio</t>
  </si>
  <si>
    <t>5.2.02.06.01.0001</t>
  </si>
  <si>
    <t>Belanja Modal Peralatan Studio Audio</t>
  </si>
  <si>
    <t>5.2.02.06.01.0002</t>
  </si>
  <si>
    <t>Belanja Modal Peralatan Studio Video dan Film</t>
  </si>
  <si>
    <t>5.2.02.10..</t>
  </si>
  <si>
    <t>Belanja Modal Komputer</t>
  </si>
  <si>
    <t>5.2.02.10.01.</t>
  </si>
  <si>
    <t>Belanja Modal Komputer Unit</t>
  </si>
  <si>
    <t>5.2.02.10.01.0002</t>
  </si>
  <si>
    <t>Belanja Modal Personal Computer</t>
  </si>
  <si>
    <t>5.2.02.10.02.</t>
  </si>
  <si>
    <t>Belanja Modal Peralatan Komputer</t>
  </si>
  <si>
    <t>5.2.02.10.02.0005</t>
  </si>
  <si>
    <t>Belanja Modal Peralatan Komputer Lainnya</t>
  </si>
  <si>
    <t>5.2.02.11</t>
  </si>
  <si>
    <t>Belanja Modal Alat Eksplorasi</t>
  </si>
  <si>
    <t>5.2.02.11.02</t>
  </si>
  <si>
    <t>Belanja Modal Alat Eksplorasi Geofisika</t>
  </si>
  <si>
    <t>5.2.02.11.02.0002</t>
  </si>
  <si>
    <t>Belanja Modal Elektronik/Electric</t>
  </si>
  <si>
    <t>5.02.01.1.07.09</t>
  </si>
  <si>
    <t>5.1.02.02.08</t>
  </si>
  <si>
    <t>Belanja Jasa Konsultansi Konstruksi</t>
  </si>
  <si>
    <t>5.2.02.02.08.0005</t>
  </si>
  <si>
    <t>Belanja Jasa Konsultansi Perencanaan Arsitektur-Jasa Arsitektur Lainnya</t>
  </si>
  <si>
    <t>Belanja Jasa Konsultansi Pengawasan Rekayasa-Jasa Pengawas Pekerjaan KonstruksiBangunan Gedung</t>
  </si>
  <si>
    <t>5.2.03.01</t>
  </si>
  <si>
    <t>Belanja Modal Bangunan Gedung</t>
  </si>
  <si>
    <t>5.2.03.01.01</t>
  </si>
  <si>
    <t>5.2.03.01.01.0001</t>
  </si>
  <si>
    <t>Belanja Modal Bangunan Gedung Kantor</t>
  </si>
  <si>
    <t>5.2.03.01.01.0013</t>
  </si>
  <si>
    <t>Belanja Modal Bangunan Gedung untuk Pos Jaga</t>
  </si>
  <si>
    <t>5.2.03.04</t>
  </si>
  <si>
    <t>Belanja Modal Tugu Titik Kontrol/Pasti</t>
  </si>
  <si>
    <t>5.2.03.04.01</t>
  </si>
  <si>
    <t>Belanja Modal Tugu/Tanda Batas</t>
  </si>
  <si>
    <t>5.2.03.04.01.0014</t>
  </si>
  <si>
    <t>Belanja Modal Pagar</t>
  </si>
  <si>
    <t>5.02.01.1.07.10</t>
  </si>
  <si>
    <t>5.2</t>
  </si>
  <si>
    <t>Belanja Modal</t>
  </si>
  <si>
    <t>Belanja Modal Peralatan dan Mesin</t>
  </si>
  <si>
    <t>5.2.02.05.01.0004</t>
  </si>
  <si>
    <t>Belanja Modal Alat Penyimpan Perlengkapan Kantor</t>
  </si>
  <si>
    <t>Belanja Modal Bangunan Gedung Tempat Kerja</t>
  </si>
  <si>
    <t>5.2.02.05.02</t>
  </si>
  <si>
    <t>5.2.02.05.02.0001</t>
  </si>
  <si>
    <t>Belanja Modal Mebel</t>
  </si>
  <si>
    <t>III</t>
  </si>
  <si>
    <t>5.02.01.1.08</t>
  </si>
  <si>
    <t>PENYEDIA JASA PENUNJANG URUSAN PEMERINTAH DAERAH</t>
  </si>
  <si>
    <t>BELANJA JASA</t>
  </si>
  <si>
    <t>5.1.02.03</t>
  </si>
  <si>
    <t>BELANJA JASA KANTOR</t>
  </si>
  <si>
    <t>5.02.01.1.08.02</t>
  </si>
  <si>
    <t>KEGIATAN PENYEDIAAN JASA KOMUNIKASI, SUMBER DAYA AIR DAN LISTRIK</t>
  </si>
  <si>
    <t>5.1.02.02.01.0060</t>
  </si>
  <si>
    <t>Belanja Tagihan Air</t>
  </si>
  <si>
    <t>5.1.02.02.01.0061</t>
  </si>
  <si>
    <t>Biaya Token Listrik</t>
  </si>
  <si>
    <t>5.1.02.02.01.0063</t>
  </si>
  <si>
    <t xml:space="preserve">Belanja Kawat/Faksimili/Internet/TV Berlangganan </t>
  </si>
  <si>
    <t>2.2</t>
  </si>
  <si>
    <t>5.02.01.1.08.04</t>
  </si>
  <si>
    <t xml:space="preserve">KEGIATAN PENYEDIAAN JASA PELAYANAN UMUM KANTOR </t>
  </si>
  <si>
    <t>5.1.02.01.01.0063</t>
  </si>
  <si>
    <t>Belanja Pakaian Dinas Harian (PDH)</t>
  </si>
  <si>
    <t>5.1.02.02.01.0026</t>
  </si>
  <si>
    <t xml:space="preserve">Belanja Jasa Tenaga Administrasi </t>
  </si>
  <si>
    <t>5.1.02.02.01.0028</t>
  </si>
  <si>
    <t>Belanja Jasa Tenaga Pelayanan Umum</t>
  </si>
  <si>
    <t>5.1.02.02.01.0030</t>
  </si>
  <si>
    <t>Belanja Jasa Tenaga Kebersihan</t>
  </si>
  <si>
    <t>5.1.02.02.01.0031</t>
  </si>
  <si>
    <t>Belanja Jasa Tenaga Keamanan</t>
  </si>
  <si>
    <t>5.1.02.02.01.0033</t>
  </si>
  <si>
    <t>Belanja Jasa Tenaga Supir</t>
  </si>
  <si>
    <t>5.1.02.02.02</t>
  </si>
  <si>
    <t>Belanja Iuran Jaminan/Asuransi</t>
  </si>
  <si>
    <t>5.1.02.02.02.0005</t>
  </si>
  <si>
    <t>Belanja Iuran Jaminan Kesehatan NON ASN</t>
  </si>
  <si>
    <t>5.1.02.02.02.0006</t>
  </si>
  <si>
    <t>Belanja Iuran Jaminan Kecelakan NON ASN</t>
  </si>
  <si>
    <t>5.1.02.02.02.0007</t>
  </si>
  <si>
    <t>Belanja Iuran Jaminan Kematian NON ASN</t>
  </si>
  <si>
    <t>5.1.02.02.04</t>
  </si>
  <si>
    <t>Belanja Sewa Peralatan dan Mesin</t>
  </si>
  <si>
    <t>5.1.02.02.03.0001</t>
  </si>
  <si>
    <t>Belanja Sea tanah Bangunan Perumahan / Gedung Tempat Tinggal</t>
  </si>
  <si>
    <t>5.1.02.02.04.0037</t>
  </si>
  <si>
    <t>Belanja Sewa Kendaraan Bermotor Angkutan Barang</t>
  </si>
  <si>
    <t>5.1.02.02.03.0016</t>
  </si>
  <si>
    <t>Belanja Sewa Tanah Non Persil Lainnya</t>
  </si>
  <si>
    <t>5.1.02.02.05</t>
  </si>
  <si>
    <t>Belanja Sewa Gedung Dan Bangunan</t>
  </si>
  <si>
    <t>5.1.02.02.05.0001</t>
  </si>
  <si>
    <t>Belanja Sewa Bangunan Gedung Kantor</t>
  </si>
  <si>
    <t>5.02.01.1.09</t>
  </si>
  <si>
    <t>PENYEDIA PEMELIHARAAN BARANG MILIK  DAERAH</t>
  </si>
  <si>
    <t>3.1</t>
  </si>
  <si>
    <t>5.02.01.1.09.02</t>
  </si>
  <si>
    <t>KEGIATAN PENYEDIAAN JASA PEMELIHARAAN, BIAYA PEMELIHARAAN DAN PAJAK KENDARAAN PERORANGAN DINAS</t>
  </si>
  <si>
    <t>5.1.02.01.01.0004</t>
  </si>
  <si>
    <t>Belanja Bahan-Bahan Bakar Dan Pelumas</t>
  </si>
  <si>
    <t>5.1.02.02.01.0067</t>
  </si>
  <si>
    <t>Belanja Pembayaran Pajak, Bea Dan Perizinan</t>
  </si>
  <si>
    <t>BELANJA PEMELIHARAAN</t>
  </si>
  <si>
    <t>5.1.02.03.02</t>
  </si>
  <si>
    <t>BELANJA PEMELIHARAAN PERALATAN DAN MESIN</t>
  </si>
  <si>
    <t>5.1.02.03.02.0036</t>
  </si>
  <si>
    <t>Belanja Pemeliharaan Alat Angkutan Darat/Kendaraan</t>
  </si>
  <si>
    <t>3.2</t>
  </si>
  <si>
    <t>5.02.01.1.09.06</t>
  </si>
  <si>
    <t xml:space="preserve">KEGIATAN PEMELIHARAAN PERALATAN DAN MESIN LAINNYA </t>
  </si>
  <si>
    <t>Belanja Pemeliharaan Peralatan Dan Mesin</t>
  </si>
  <si>
    <t>5.1.02.03.02.0027</t>
  </si>
  <si>
    <t>Belanja Pemeliharaan Alat Besar-Alat Bantu-Pembangkit Uap Air Panas/Steam Generator</t>
  </si>
  <si>
    <t>5.1.02.03.02.0121</t>
  </si>
  <si>
    <t xml:space="preserve">Belanja Pemeliharaan Alat Kantor dan Rumah Tangga-Alat Rumah Tangga-Alat Pendingin </t>
  </si>
  <si>
    <t>5.1.02.03.02.0411</t>
  </si>
  <si>
    <t xml:space="preserve">Belanja Pemeliharaan Komputer-Peralatan Komputer-Peralatan Komputer Lainnya </t>
  </si>
  <si>
    <t>5.1.02.03.04</t>
  </si>
  <si>
    <t>5.1.02.03.04.0118</t>
  </si>
  <si>
    <t>Belanja Pemeliharaan Instalasi-Instalasi Lain-Instalasi Lain</t>
  </si>
  <si>
    <t>Belanja Pemeliharaan Jalan, Jaringan, dan Irigasi</t>
  </si>
  <si>
    <t>Belanja Pemeliharaan Jaringan-Jaringan Listrik-Jaringan Listrik Lainnya</t>
  </si>
  <si>
    <t>3.3</t>
  </si>
  <si>
    <t>5.02.01.1.09.10</t>
  </si>
  <si>
    <t xml:space="preserve">KEGIATAN PEMELIHARAAN/REHABILITASI GEDUNG KANTOR DAN BANGUNAN LAINNYA </t>
  </si>
  <si>
    <t>lanja Jasa Konsultansi Konstruksi</t>
  </si>
  <si>
    <t>5.1.02.02.08.0001</t>
  </si>
  <si>
    <t>Belanja Jasa Konsultansi Perencanaan Arsitektur- Jasa Nasihat dan Pra Desain Arsitektural</t>
  </si>
  <si>
    <t>Belanja Pemeliharaan</t>
  </si>
  <si>
    <t>5.1.02.03.03</t>
  </si>
  <si>
    <t xml:space="preserve">Belanja Pemeliharaan Gedung dan Bangunan </t>
  </si>
  <si>
    <t>5.1.02.03.03.0001</t>
  </si>
  <si>
    <t>Belanja Pemeliharaan Bangunan Gedung-Bangunan Gedung Tempat Kerja-BangunanGedung Kantor</t>
  </si>
  <si>
    <t>5.1.02.02.08.0023</t>
  </si>
  <si>
    <t>Belanja Jasa Konsultansi Pengawasan Penataan Ruang</t>
  </si>
  <si>
    <t>IV</t>
  </si>
  <si>
    <t>5.02.04.1.01</t>
  </si>
  <si>
    <t>PENYEDIA KEGIATAN PENGELOLAAN PENDAPATAN DAERAH</t>
  </si>
  <si>
    <t>4.1</t>
  </si>
  <si>
    <t>5.02.04.1.01.03</t>
  </si>
  <si>
    <t>PENYULUHAN DAN PENYEBARLUASAN KEBIJAKAN PAJAK DAERAH</t>
  </si>
  <si>
    <t>Belanja Barang Habis Pakai</t>
  </si>
  <si>
    <t>Belanja Bahan-Bahan Bakar dan Pelumas</t>
  </si>
  <si>
    <t>Belanja Alah/Bahan untuk Kegiatan kanor-Bahan Cetak</t>
  </si>
  <si>
    <t>Efisiensi APBD 2024</t>
  </si>
  <si>
    <t>5.1.02.01.01.0052</t>
  </si>
  <si>
    <t>Belanja Makan Dan Minum Rapat</t>
  </si>
  <si>
    <t>5.1.02.02.01.0003</t>
  </si>
  <si>
    <t>Honorarium Narasumber atau Pembahas, Moderator, PembawaAcara, dan Panitia</t>
  </si>
  <si>
    <t>5.1.02.02.01.0055</t>
  </si>
  <si>
    <t xml:space="preserve">Belanja Jasa Iklan/Reklame, Film, dan Pemotretan </t>
  </si>
  <si>
    <t>5.1.02.04.01.0004</t>
  </si>
  <si>
    <t>Belanja Perjalanan Dinas Paket Meeting Dalam Kota</t>
  </si>
  <si>
    <t>4.2</t>
  </si>
  <si>
    <t>5.02.04.1.01.05</t>
  </si>
  <si>
    <t>KEGIATAN PENDATAAN DAN PENDAFTARAN OBJEK PAJAK DAERAH</t>
  </si>
  <si>
    <t>5.1.02.02.01.0027</t>
  </si>
  <si>
    <t>5.1.02.02.01.0004</t>
  </si>
  <si>
    <t xml:space="preserve">Honorarium Tim Pelaksana Kegiatan dan Sekretariat Tim Pelaksana Kegiatan </t>
  </si>
  <si>
    <t>Belanja Jasa Iklan/Reklame, Film dan Pemotretan</t>
  </si>
  <si>
    <t>BELANJA PERJALANAN DINAS</t>
  </si>
  <si>
    <t>5.1.02.02.01.0064</t>
  </si>
  <si>
    <t>4.3</t>
  </si>
  <si>
    <t>5.02.04.1.01.10</t>
  </si>
  <si>
    <t>KEGIATAN PENAGIHAN PAJAK DAERAH</t>
  </si>
  <si>
    <t>Belanja Makanan Dan Minuman Rapat</t>
  </si>
  <si>
    <t>Honorarium Tim Pelaksana Kegiatan Dan Sekretariat Tim Pelaksana</t>
  </si>
  <si>
    <t>Belanja Sewa Peralatan Dan Mesin</t>
  </si>
  <si>
    <t>5.1.02.02.04.0425</t>
  </si>
  <si>
    <t>Belanja Sewa Peralatan Bantu</t>
  </si>
  <si>
    <t>Belanja Perjalanan Dinas Biasa</t>
  </si>
  <si>
    <t>JUMLAH</t>
  </si>
  <si>
    <t>Penerimaan</t>
  </si>
  <si>
    <t xml:space="preserve"> - SPJ- (LS+UP/GU/TU)</t>
  </si>
  <si>
    <t xml:space="preserve">    a. UP</t>
  </si>
  <si>
    <t xml:space="preserve">    b. GU</t>
  </si>
  <si>
    <t xml:space="preserve">    c. TU</t>
  </si>
  <si>
    <t xml:space="preserve">    d. LS</t>
  </si>
  <si>
    <t xml:space="preserve"> - Potongan Pajak</t>
  </si>
  <si>
    <t xml:space="preserve">    a. PPN</t>
  </si>
  <si>
    <t xml:space="preserve">    c. PPh.- 21</t>
  </si>
  <si>
    <t xml:space="preserve">    d. PPh.- 22</t>
  </si>
  <si>
    <t xml:space="preserve">    e. PPh.- 23</t>
  </si>
  <si>
    <t xml:space="preserve">    b. PPh. Psl 4 (Ayat 2)</t>
  </si>
  <si>
    <t xml:space="preserve"> - Panjar</t>
  </si>
  <si>
    <t xml:space="preserve"> - Lainnya</t>
  </si>
  <si>
    <t>Jumlah Penerimaan</t>
  </si>
  <si>
    <t>Pengeluaran</t>
  </si>
  <si>
    <t xml:space="preserve"> - Penyetoran Pajak</t>
  </si>
  <si>
    <t>Jumlah Pengeluaran</t>
  </si>
  <si>
    <t>Saldo Kas</t>
  </si>
  <si>
    <t>Tasikmalaya, 30 April 2026</t>
  </si>
  <si>
    <t>Mengetahui :</t>
  </si>
  <si>
    <t>KUASA PENGGUNA ANGGARAN,</t>
  </si>
  <si>
    <t>BENDAHARA PENGELUARAN PEMBANTU,</t>
  </si>
  <si>
    <t xml:space="preserve"> </t>
  </si>
  <si>
    <t>YADIN HERYADIN, SE</t>
  </si>
  <si>
    <t>Penata Tingkat I</t>
  </si>
  <si>
    <t>ECEP SUGIARTO, S.E., M.A.B</t>
  </si>
  <si>
    <t>NIP. 19711128 200801 1 001</t>
  </si>
  <si>
    <t>Pembina</t>
  </si>
  <si>
    <t>NIP. 19680406 199703 1 002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</si>
</sst>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#,##0_);\(#,##0\);\-"/>
    <numFmt numFmtId="165" formatCode="_(* #,##0_);_(* \(#,##0\);_(* &quot;-&quot;_);_(@_)"/>
    <numFmt numFmtId="166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 Narrow"/>
      <family val="2"/>
    </font>
    <font>
      <b/>
      <sz val="12"/>
      <color indexed="8"/>
      <name val="Arial Narrow"/>
      <family val="2"/>
    </font>
    <font>
      <b/>
      <sz val="10"/>
      <color indexed="8"/>
      <name val="Arial Narrow"/>
      <family val="2"/>
    </font>
    <font>
      <sz val="12"/>
      <color indexed="8"/>
      <name val="Arial Narrow"/>
      <family val="2"/>
    </font>
    <font>
      <sz val="12"/>
      <name val="Arial Narrow"/>
      <family val="2"/>
    </font>
    <font>
      <b/>
      <sz val="12"/>
      <color theme="1"/>
      <name val="Arial Narrow"/>
      <family val="2"/>
    </font>
    <font>
      <b/>
      <sz val="12"/>
      <name val="Arial Narrow"/>
      <family val="2"/>
    </font>
    <font>
      <sz val="12"/>
      <color indexed="8"/>
      <name val="Arial"/>
      <family val="2"/>
    </font>
    <font>
      <sz val="12"/>
      <name val="Tahoma"/>
      <family val="2"/>
    </font>
    <font>
      <sz val="9"/>
      <name val="Tahoma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0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0" fontId="2" fillId="0" borderId="0">
      <alignment vertical="top"/>
    </xf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top"/>
    </xf>
    <xf numFmtId="166" fontId="2" fillId="0" borderId="0" applyFont="0" applyFill="0" applyBorder="0" applyAlignment="0" applyProtection="0">
      <alignment vertical="top"/>
    </xf>
    <xf numFmtId="0" fontId="20" fillId="0" borderId="0"/>
  </cellStyleXfs>
  <cellXfs count="139">
    <xf numFmtId="0" fontId="0" fillId="0" borderId="0" xfId="0"/>
    <xf numFmtId="0" fontId="3" fillId="0" borderId="0" xfId="2" applyFont="1">
      <alignment vertical="top"/>
    </xf>
    <xf numFmtId="0" fontId="4" fillId="0" borderId="0" xfId="2" applyFont="1" applyAlignment="1">
      <alignment horizontal="center" vertical="top"/>
    </xf>
    <xf numFmtId="0" fontId="4" fillId="0" borderId="0" xfId="2" applyFont="1">
      <alignment vertical="top"/>
    </xf>
    <xf numFmtId="0" fontId="5" fillId="0" borderId="0" xfId="2" applyFont="1">
      <alignment vertical="top"/>
    </xf>
    <xf numFmtId="0" fontId="5" fillId="0" borderId="0" xfId="2" applyFont="1" applyAlignment="1">
      <alignment vertical="top" readingOrder="1"/>
    </xf>
    <xf numFmtId="17" fontId="5" fillId="0" borderId="0" xfId="2" quotePrefix="1" applyNumberFormat="1" applyFont="1">
      <alignment vertical="top"/>
    </xf>
    <xf numFmtId="41" fontId="3" fillId="0" borderId="0" xfId="1" applyFont="1" applyAlignment="1">
      <alignment vertical="top"/>
    </xf>
    <xf numFmtId="0" fontId="4" fillId="0" borderId="1" xfId="2" applyFont="1" applyBorder="1" applyAlignment="1">
      <alignment horizontal="center" vertical="center" readingOrder="1"/>
    </xf>
    <xf numFmtId="0" fontId="4" fillId="0" borderId="2" xfId="2" applyFont="1" applyBorder="1" applyAlignment="1">
      <alignment horizontal="center" vertical="center" wrapText="1" readingOrder="1"/>
    </xf>
    <xf numFmtId="0" fontId="4" fillId="0" borderId="3" xfId="2" applyFont="1" applyBorder="1" applyAlignment="1">
      <alignment horizontal="center" vertical="center" readingOrder="1"/>
    </xf>
    <xf numFmtId="0" fontId="4" fillId="0" borderId="4" xfId="2" applyFont="1" applyBorder="1" applyAlignment="1">
      <alignment horizontal="center" vertical="center" readingOrder="1"/>
    </xf>
    <xf numFmtId="0" fontId="4" fillId="0" borderId="5" xfId="2" applyFont="1" applyBorder="1" applyAlignment="1">
      <alignment horizontal="center" vertical="center" readingOrder="1"/>
    </xf>
    <xf numFmtId="0" fontId="4" fillId="0" borderId="2" xfId="2" applyFont="1" applyBorder="1" applyAlignment="1">
      <alignment horizontal="center" vertical="center" readingOrder="1"/>
    </xf>
    <xf numFmtId="0" fontId="4" fillId="0" borderId="3" xfId="2" applyFont="1" applyBorder="1" applyAlignment="1">
      <alignment horizontal="center" vertical="center" wrapText="1" readingOrder="1"/>
    </xf>
    <xf numFmtId="0" fontId="6" fillId="0" borderId="0" xfId="2" applyFont="1" applyAlignment="1">
      <alignment horizontal="center" vertical="center"/>
    </xf>
    <xf numFmtId="0" fontId="4" fillId="0" borderId="6" xfId="2" applyFont="1" applyBorder="1" applyAlignment="1">
      <alignment horizontal="center" vertical="center" readingOrder="1"/>
    </xf>
    <xf numFmtId="0" fontId="4" fillId="0" borderId="7" xfId="2" applyFont="1" applyBorder="1" applyAlignment="1">
      <alignment horizontal="center" vertical="center" readingOrder="1"/>
    </xf>
    <xf numFmtId="0" fontId="4" fillId="0" borderId="8" xfId="2" applyFont="1" applyBorder="1" applyAlignment="1">
      <alignment horizontal="center" vertical="center" readingOrder="1"/>
    </xf>
    <xf numFmtId="0" fontId="4" fillId="0" borderId="9" xfId="2" applyFont="1" applyBorder="1" applyAlignment="1">
      <alignment horizontal="center" vertical="center" wrapText="1" readingOrder="1"/>
    </xf>
    <xf numFmtId="0" fontId="4" fillId="0" borderId="10" xfId="2" applyFont="1" applyBorder="1" applyAlignment="1">
      <alignment horizontal="center" vertical="center" readingOrder="1"/>
    </xf>
    <xf numFmtId="0" fontId="4" fillId="0" borderId="9" xfId="2" applyFont="1" applyBorder="1" applyAlignment="1">
      <alignment horizontal="center" vertical="center" readingOrder="1"/>
    </xf>
    <xf numFmtId="0" fontId="4" fillId="0" borderId="8" xfId="2" applyFont="1" applyBorder="1" applyAlignment="1">
      <alignment horizontal="center" vertical="center" wrapText="1" readingOrder="1"/>
    </xf>
    <xf numFmtId="0" fontId="6" fillId="0" borderId="11" xfId="2" applyFont="1" applyBorder="1" applyAlignment="1">
      <alignment horizontal="center" vertical="center" readingOrder="1"/>
    </xf>
    <xf numFmtId="0" fontId="6" fillId="0" borderId="12" xfId="2" applyFont="1" applyBorder="1" applyAlignment="1">
      <alignment horizontal="center" vertical="center" readingOrder="1"/>
    </xf>
    <xf numFmtId="0" fontId="6" fillId="0" borderId="13" xfId="2" applyFont="1" applyBorder="1" applyAlignment="1">
      <alignment horizontal="center" vertical="center" readingOrder="1"/>
    </xf>
    <xf numFmtId="0" fontId="7" fillId="0" borderId="14" xfId="2" applyFont="1" applyBorder="1" applyAlignment="1">
      <alignment horizontal="center" vertical="center" readingOrder="1"/>
    </xf>
    <xf numFmtId="0" fontId="7" fillId="0" borderId="15" xfId="2" applyFont="1" applyBorder="1" applyAlignment="1">
      <alignment horizontal="center" vertical="center" readingOrder="1"/>
    </xf>
    <xf numFmtId="0" fontId="6" fillId="0" borderId="0" xfId="2" applyFont="1" applyAlignment="1">
      <alignment horizontal="center" vertical="center" readingOrder="1"/>
    </xf>
    <xf numFmtId="0" fontId="6" fillId="0" borderId="0" xfId="2" applyFont="1" applyAlignment="1">
      <alignment horizontal="center" vertical="top" readingOrder="1"/>
    </xf>
    <xf numFmtId="0" fontId="6" fillId="0" borderId="16" xfId="2" applyFont="1" applyBorder="1" applyAlignment="1">
      <alignment vertical="center"/>
    </xf>
    <xf numFmtId="0" fontId="4" fillId="0" borderId="17" xfId="2" applyFont="1" applyBorder="1" applyAlignment="1">
      <alignment vertical="center"/>
    </xf>
    <xf numFmtId="0" fontId="4" fillId="0" borderId="10" xfId="2" applyFont="1" applyBorder="1" applyAlignment="1">
      <alignment vertical="center"/>
    </xf>
    <xf numFmtId="164" fontId="4" fillId="0" borderId="10" xfId="2" applyNumberFormat="1" applyFont="1" applyBorder="1" applyAlignment="1">
      <alignment vertical="center"/>
    </xf>
    <xf numFmtId="0" fontId="6" fillId="0" borderId="0" xfId="2" applyFont="1" applyAlignment="1">
      <alignment vertical="center"/>
    </xf>
    <xf numFmtId="0" fontId="6" fillId="0" borderId="0" xfId="2" applyFont="1">
      <alignment vertical="top"/>
    </xf>
    <xf numFmtId="0" fontId="4" fillId="0" borderId="7" xfId="2" applyFont="1" applyBorder="1" applyAlignment="1">
      <alignment vertical="center"/>
    </xf>
    <xf numFmtId="0" fontId="4" fillId="0" borderId="8" xfId="2" applyFont="1" applyBorder="1" applyAlignment="1">
      <alignment vertical="center"/>
    </xf>
    <xf numFmtId="164" fontId="4" fillId="0" borderId="8" xfId="2" applyNumberFormat="1" applyFont="1" applyBorder="1" applyAlignment="1">
      <alignment vertical="center"/>
    </xf>
    <xf numFmtId="0" fontId="4" fillId="2" borderId="16" xfId="2" applyFont="1" applyFill="1" applyBorder="1" applyAlignment="1">
      <alignment horizontal="center" vertical="center" readingOrder="1"/>
    </xf>
    <xf numFmtId="0" fontId="4" fillId="2" borderId="17" xfId="2" applyFont="1" applyFill="1" applyBorder="1" applyAlignment="1">
      <alignment horizontal="left" vertical="center" readingOrder="1"/>
    </xf>
    <xf numFmtId="0" fontId="4" fillId="2" borderId="10" xfId="2" applyFont="1" applyFill="1" applyBorder="1" applyAlignment="1">
      <alignment horizontal="left" vertical="center" wrapText="1" readingOrder="1"/>
    </xf>
    <xf numFmtId="164" fontId="4" fillId="2" borderId="10" xfId="2" applyNumberFormat="1" applyFont="1" applyFill="1" applyBorder="1" applyAlignment="1">
      <alignment horizontal="right" vertical="center" readingOrder="1"/>
    </xf>
    <xf numFmtId="164" fontId="6" fillId="0" borderId="0" xfId="2" applyNumberFormat="1" applyFont="1" applyAlignment="1">
      <alignment horizontal="center" vertical="center" readingOrder="1"/>
    </xf>
    <xf numFmtId="0" fontId="4" fillId="3" borderId="16" xfId="2" applyFont="1" applyFill="1" applyBorder="1" applyAlignment="1">
      <alignment horizontal="center" vertical="center"/>
    </xf>
    <xf numFmtId="0" fontId="4" fillId="3" borderId="7" xfId="2" applyFont="1" applyFill="1" applyBorder="1" applyAlignment="1">
      <alignment vertical="center"/>
    </xf>
    <xf numFmtId="0" fontId="4" fillId="3" borderId="8" xfId="2" applyFont="1" applyFill="1" applyBorder="1" applyAlignment="1">
      <alignment vertical="center" wrapText="1" readingOrder="1"/>
    </xf>
    <xf numFmtId="164" fontId="4" fillId="3" borderId="8" xfId="2" applyNumberFormat="1" applyFont="1" applyFill="1" applyBorder="1" applyAlignment="1">
      <alignment vertical="center"/>
    </xf>
    <xf numFmtId="0" fontId="6" fillId="3" borderId="0" xfId="2" applyFont="1" applyFill="1">
      <alignment vertical="top"/>
    </xf>
    <xf numFmtId="0" fontId="4" fillId="0" borderId="7" xfId="2" applyFont="1" applyBorder="1" applyAlignment="1">
      <alignment horizontal="left" vertical="center"/>
    </xf>
    <xf numFmtId="0" fontId="4" fillId="0" borderId="8" xfId="2" applyFont="1" applyBorder="1" applyAlignment="1">
      <alignment vertical="center" wrapText="1" readingOrder="1"/>
    </xf>
    <xf numFmtId="0" fontId="6" fillId="0" borderId="7" xfId="2" applyFont="1" applyBorder="1" applyAlignment="1">
      <alignment horizontal="left" vertical="center"/>
    </xf>
    <xf numFmtId="0" fontId="6" fillId="0" borderId="8" xfId="2" applyFont="1" applyBorder="1" applyAlignment="1">
      <alignment vertical="center"/>
    </xf>
    <xf numFmtId="164" fontId="6" fillId="0" borderId="8" xfId="2" applyNumberFormat="1" applyFont="1" applyBorder="1" applyAlignment="1">
      <alignment vertical="center"/>
    </xf>
    <xf numFmtId="164" fontId="6" fillId="0" borderId="0" xfId="2" applyNumberFormat="1" applyFont="1" applyAlignment="1">
      <alignment vertical="center"/>
    </xf>
    <xf numFmtId="164" fontId="6" fillId="0" borderId="0" xfId="2" applyNumberFormat="1" applyFont="1">
      <alignment vertical="top"/>
    </xf>
    <xf numFmtId="0" fontId="6" fillId="0" borderId="18" xfId="2" applyFont="1" applyBorder="1" applyAlignment="1">
      <alignment vertical="center"/>
    </xf>
    <xf numFmtId="0" fontId="6" fillId="0" borderId="19" xfId="2" applyFont="1" applyBorder="1" applyAlignment="1">
      <alignment vertical="center"/>
    </xf>
    <xf numFmtId="0" fontId="6" fillId="0" borderId="8" xfId="2" applyFont="1" applyBorder="1" applyAlignment="1">
      <alignment horizontal="left" vertical="center"/>
    </xf>
    <xf numFmtId="164" fontId="8" fillId="3" borderId="8" xfId="2" applyNumberFormat="1" applyFont="1" applyFill="1" applyBorder="1" applyAlignment="1">
      <alignment vertical="center"/>
    </xf>
    <xf numFmtId="165" fontId="4" fillId="0" borderId="0" xfId="3" applyFont="1" applyFill="1" applyAlignment="1">
      <alignment vertical="top"/>
    </xf>
    <xf numFmtId="165" fontId="4" fillId="0" borderId="0" xfId="2" applyNumberFormat="1" applyFont="1">
      <alignment vertical="top"/>
    </xf>
    <xf numFmtId="165" fontId="6" fillId="0" borderId="0" xfId="2" applyNumberFormat="1" applyFont="1" applyAlignment="1">
      <alignment vertical="center"/>
    </xf>
    <xf numFmtId="0" fontId="4" fillId="0" borderId="16" xfId="2" applyFont="1" applyBorder="1" applyAlignment="1">
      <alignment vertical="center"/>
    </xf>
    <xf numFmtId="0" fontId="4" fillId="0" borderId="0" xfId="2" applyFont="1" applyAlignment="1">
      <alignment vertical="center"/>
    </xf>
    <xf numFmtId="0" fontId="6" fillId="0" borderId="7" xfId="2" applyFont="1" applyBorder="1" applyAlignment="1">
      <alignment vertical="center"/>
    </xf>
    <xf numFmtId="0" fontId="9" fillId="4" borderId="20" xfId="2" applyFont="1" applyFill="1" applyBorder="1" applyAlignment="1">
      <alignment horizontal="center" vertical="center"/>
    </xf>
    <xf numFmtId="0" fontId="9" fillId="4" borderId="21" xfId="2" applyFont="1" applyFill="1" applyBorder="1" applyAlignment="1">
      <alignment horizontal="center" vertical="center"/>
    </xf>
    <xf numFmtId="0" fontId="9" fillId="4" borderId="22" xfId="2" applyFont="1" applyFill="1" applyBorder="1" applyAlignment="1">
      <alignment vertical="center"/>
    </xf>
    <xf numFmtId="165" fontId="9" fillId="4" borderId="22" xfId="4" applyFont="1" applyFill="1" applyBorder="1" applyAlignment="1">
      <alignment vertical="center" wrapText="1"/>
    </xf>
    <xf numFmtId="0" fontId="6" fillId="0" borderId="0" xfId="2" applyFont="1" applyAlignment="1"/>
    <xf numFmtId="0" fontId="10" fillId="0" borderId="23" xfId="2" applyFont="1" applyBorder="1" applyAlignment="1"/>
    <xf numFmtId="0" fontId="11" fillId="0" borderId="24" xfId="2" applyFont="1" applyBorder="1" applyAlignment="1">
      <alignment vertical="center"/>
    </xf>
    <xf numFmtId="164" fontId="11" fillId="0" borderId="24" xfId="2" applyNumberFormat="1" applyFont="1" applyBorder="1" applyAlignment="1">
      <alignment vertical="center"/>
    </xf>
    <xf numFmtId="41" fontId="11" fillId="0" borderId="24" xfId="2" applyNumberFormat="1" applyFont="1" applyBorder="1" applyAlignment="1">
      <alignment vertical="center"/>
    </xf>
    <xf numFmtId="165" fontId="12" fillId="0" borderId="24" xfId="2" applyNumberFormat="1" applyFont="1" applyBorder="1" applyAlignment="1">
      <alignment vertical="center"/>
    </xf>
    <xf numFmtId="0" fontId="12" fillId="0" borderId="24" xfId="2" applyFont="1" applyBorder="1" applyAlignment="1">
      <alignment vertical="center"/>
    </xf>
    <xf numFmtId="164" fontId="12" fillId="0" borderId="24" xfId="2" applyNumberFormat="1" applyFont="1" applyBorder="1" applyAlignment="1">
      <alignment vertical="center"/>
    </xf>
    <xf numFmtId="0" fontId="10" fillId="0" borderId="0" xfId="2" applyFont="1" applyAlignment="1"/>
    <xf numFmtId="0" fontId="10" fillId="0" borderId="19" xfId="2" applyFont="1" applyBorder="1" applyAlignment="1"/>
    <xf numFmtId="0" fontId="11" fillId="0" borderId="0" xfId="2" applyFont="1" applyAlignment="1">
      <alignment vertical="center"/>
    </xf>
    <xf numFmtId="41" fontId="13" fillId="5" borderId="25" xfId="1" applyFont="1" applyFill="1" applyBorder="1"/>
    <xf numFmtId="41" fontId="13" fillId="5" borderId="26" xfId="1" applyFont="1" applyFill="1" applyBorder="1"/>
    <xf numFmtId="41" fontId="13" fillId="5" borderId="27" xfId="1" applyFont="1" applyFill="1" applyBorder="1"/>
    <xf numFmtId="41" fontId="14" fillId="0" borderId="8" xfId="1" applyFont="1" applyBorder="1" applyAlignment="1">
      <alignment vertical="center"/>
    </xf>
    <xf numFmtId="41" fontId="15" fillId="0" borderId="25" xfId="1" applyFont="1" applyBorder="1"/>
    <xf numFmtId="41" fontId="13" fillId="0" borderId="26" xfId="1" applyFont="1" applyBorder="1"/>
    <xf numFmtId="41" fontId="15" fillId="0" borderId="27" xfId="1" applyFont="1" applyBorder="1"/>
    <xf numFmtId="41" fontId="13" fillId="0" borderId="28" xfId="1" applyFont="1" applyBorder="1"/>
    <xf numFmtId="41" fontId="13" fillId="0" borderId="27" xfId="1" applyFont="1" applyBorder="1"/>
    <xf numFmtId="41" fontId="13" fillId="0" borderId="29" xfId="1" applyFont="1" applyBorder="1"/>
    <xf numFmtId="41" fontId="15" fillId="5" borderId="28" xfId="1" applyFont="1" applyFill="1" applyBorder="1"/>
    <xf numFmtId="41" fontId="10" fillId="0" borderId="0" xfId="2" applyNumberFormat="1" applyFont="1" applyAlignment="1"/>
    <xf numFmtId="41" fontId="13" fillId="0" borderId="30" xfId="1" applyFont="1" applyBorder="1"/>
    <xf numFmtId="41" fontId="15" fillId="0" borderId="31" xfId="1" applyFont="1" applyBorder="1"/>
    <xf numFmtId="41" fontId="13" fillId="0" borderId="32" xfId="1" applyFont="1" applyBorder="1"/>
    <xf numFmtId="41" fontId="13" fillId="0" borderId="33" xfId="1" applyFont="1" applyBorder="1"/>
    <xf numFmtId="41" fontId="14" fillId="0" borderId="34" xfId="1" applyFont="1" applyBorder="1" applyAlignment="1">
      <alignment vertical="center"/>
    </xf>
    <xf numFmtId="41" fontId="15" fillId="0" borderId="35" xfId="1" applyFont="1" applyBorder="1"/>
    <xf numFmtId="41" fontId="15" fillId="5" borderId="29" xfId="1" applyFont="1" applyFill="1" applyBorder="1"/>
    <xf numFmtId="41" fontId="15" fillId="5" borderId="36" xfId="1" applyFont="1" applyFill="1" applyBorder="1"/>
    <xf numFmtId="41" fontId="15" fillId="5" borderId="37" xfId="1" applyFont="1" applyFill="1" applyBorder="1"/>
    <xf numFmtId="41" fontId="14" fillId="0" borderId="10" xfId="1" applyFont="1" applyBorder="1" applyAlignment="1">
      <alignment vertical="center"/>
    </xf>
    <xf numFmtId="41" fontId="13" fillId="5" borderId="36" xfId="1" applyFont="1" applyFill="1" applyBorder="1"/>
    <xf numFmtId="41" fontId="14" fillId="0" borderId="38" xfId="1" applyFont="1" applyBorder="1" applyAlignment="1">
      <alignment vertical="center"/>
    </xf>
    <xf numFmtId="41" fontId="15" fillId="5" borderId="0" xfId="1" applyFont="1" applyFill="1" applyBorder="1"/>
    <xf numFmtId="41" fontId="13" fillId="5" borderId="28" xfId="1" applyFont="1" applyFill="1" applyBorder="1"/>
    <xf numFmtId="0" fontId="16" fillId="0" borderId="0" xfId="2" applyFont="1" applyAlignment="1">
      <alignment vertical="center"/>
    </xf>
    <xf numFmtId="41" fontId="13" fillId="0" borderId="25" xfId="1" applyFont="1" applyBorder="1"/>
    <xf numFmtId="41" fontId="13" fillId="0" borderId="31" xfId="1" applyFont="1" applyBorder="1"/>
    <xf numFmtId="41" fontId="11" fillId="0" borderId="0" xfId="2" applyNumberFormat="1" applyFont="1" applyAlignment="1">
      <alignment vertical="center"/>
    </xf>
    <xf numFmtId="165" fontId="12" fillId="0" borderId="0" xfId="2" applyNumberFormat="1" applyFont="1" applyAlignment="1">
      <alignment vertical="center"/>
    </xf>
    <xf numFmtId="165" fontId="11" fillId="0" borderId="0" xfId="2" applyNumberFormat="1" applyFont="1" applyAlignment="1">
      <alignment vertical="center"/>
    </xf>
    <xf numFmtId="0" fontId="10" fillId="0" borderId="0" xfId="2" applyFont="1" applyAlignment="1">
      <alignment vertical="center"/>
    </xf>
    <xf numFmtId="0" fontId="16" fillId="0" borderId="0" xfId="2" applyFont="1" applyAlignment="1">
      <alignment horizontal="center" vertical="center"/>
    </xf>
    <xf numFmtId="0" fontId="16" fillId="0" borderId="39" xfId="2" applyFont="1" applyBorder="1" applyAlignment="1">
      <alignment vertical="center"/>
    </xf>
    <xf numFmtId="0" fontId="17" fillId="0" borderId="0" xfId="2" applyFont="1" applyAlignment="1">
      <alignment vertical="center"/>
    </xf>
    <xf numFmtId="0" fontId="16" fillId="0" borderId="0" xfId="2" applyFont="1" applyAlignment="1">
      <alignment horizontal="center" vertical="center"/>
    </xf>
    <xf numFmtId="41" fontId="17" fillId="0" borderId="0" xfId="2" applyNumberFormat="1" applyFont="1" applyAlignment="1">
      <alignment vertical="center"/>
    </xf>
    <xf numFmtId="0" fontId="17" fillId="0" borderId="0" xfId="5" applyNumberFormat="1" applyFont="1" applyFill="1" applyBorder="1" applyAlignment="1">
      <alignment vertical="center"/>
    </xf>
    <xf numFmtId="0" fontId="17" fillId="0" borderId="39" xfId="2" applyFont="1" applyBorder="1" applyAlignment="1">
      <alignment vertical="center"/>
    </xf>
    <xf numFmtId="0" fontId="18" fillId="0" borderId="0" xfId="0" applyFont="1"/>
    <xf numFmtId="0" fontId="16" fillId="0" borderId="19" xfId="2" applyFont="1" applyBorder="1" applyAlignment="1"/>
    <xf numFmtId="165" fontId="16" fillId="0" borderId="0" xfId="4" applyFont="1" applyFill="1" applyBorder="1" applyAlignment="1">
      <alignment vertical="center"/>
    </xf>
    <xf numFmtId="0" fontId="16" fillId="0" borderId="0" xfId="4" applyNumberFormat="1" applyFont="1" applyFill="1" applyBorder="1" applyAlignment="1">
      <alignment vertical="center"/>
    </xf>
    <xf numFmtId="0" fontId="16" fillId="0" borderId="0" xfId="2" applyFont="1" applyAlignment="1"/>
    <xf numFmtId="0" fontId="19" fillId="0" borderId="0" xfId="0" applyFont="1"/>
    <xf numFmtId="0" fontId="19" fillId="0" borderId="0" xfId="0" applyFont="1" applyAlignment="1">
      <alignment horizontal="left"/>
    </xf>
    <xf numFmtId="0" fontId="0" fillId="0" borderId="0" xfId="0"/>
    <xf numFmtId="0" fontId="18" fillId="0" borderId="0" xfId="6" applyFont="1" applyAlignment="1">
      <alignment horizontal="center"/>
    </xf>
    <xf numFmtId="0" fontId="18" fillId="0" borderId="0" xfId="4" applyNumberFormat="1" applyFont="1" applyBorder="1" applyAlignment="1">
      <alignment horizontal="center"/>
    </xf>
    <xf numFmtId="0" fontId="17" fillId="0" borderId="0" xfId="2" applyFont="1" applyAlignment="1">
      <alignment horizontal="center" vertical="center"/>
    </xf>
    <xf numFmtId="0" fontId="19" fillId="0" borderId="0" xfId="6" applyFont="1" applyAlignment="1">
      <alignment horizontal="center"/>
    </xf>
    <xf numFmtId="0" fontId="19" fillId="0" borderId="0" xfId="4" applyNumberFormat="1" applyFont="1" applyBorder="1" applyAlignment="1">
      <alignment horizontal="center"/>
    </xf>
    <xf numFmtId="0" fontId="16" fillId="0" borderId="40" xfId="2" applyFont="1" applyBorder="1" applyAlignment="1"/>
    <xf numFmtId="0" fontId="16" fillId="0" borderId="41" xfId="2" applyFont="1" applyBorder="1" applyAlignment="1">
      <alignment vertical="center"/>
    </xf>
    <xf numFmtId="0" fontId="19" fillId="0" borderId="41" xfId="4" applyNumberFormat="1" applyFont="1" applyBorder="1" applyAlignment="1">
      <alignment horizontal="center"/>
    </xf>
    <xf numFmtId="0" fontId="16" fillId="0" borderId="41" xfId="2" applyFont="1" applyBorder="1" applyAlignment="1">
      <alignment horizontal="center" vertical="center"/>
    </xf>
    <xf numFmtId="0" fontId="16" fillId="0" borderId="42" xfId="2" applyFont="1" applyBorder="1" applyAlignment="1">
      <alignment vertical="center"/>
    </xf>
  </cellXfs>
  <cellStyles count="7">
    <cellStyle name="Comma [0]" xfId="1" builtinId="6"/>
    <cellStyle name="Comma [0] 2" xfId="3" xr:uid="{5ADC04B4-7F67-4707-B5E2-78AC28A5F436}"/>
    <cellStyle name="Comma [0] 9" xfId="4" xr:uid="{3DFC5C61-2C05-4643-9A25-C152B047D139}"/>
    <cellStyle name="Comma 11" xfId="5" xr:uid="{9CCA6658-365D-4C9F-80CF-4A9CBDFABD6F}"/>
    <cellStyle name="Normal" xfId="0" builtinId="0"/>
    <cellStyle name="Normal 7" xfId="6" xr:uid="{407430D8-D96E-4015-B2A9-CD7882EF39D8}"/>
    <cellStyle name="Normal 9 4" xfId="2" xr:uid="{61A49C40-48FA-44A1-A935-166AFAF81E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D97D-9E52-4405-A342-1D7D8BBC7A1D}">
  <sheetPr>
    <tabColor rgb="FFFF0000"/>
    <pageSetUpPr fitToPage="1"/>
  </sheetPr>
  <dimension ref="A1:V327"/>
  <sheetViews>
    <sheetView showGridLines="0" tabSelected="1" showOutlineSymbols="0" showWhiteSpace="0" view="pageBreakPreview" topLeftCell="A4" zoomScaleNormal="85" zoomScaleSheetLayoutView="100" workbookViewId="0">
      <pane xSplit="4" ySplit="5" topLeftCell="E9" activePane="bottomRight" state="frozen"/>
      <selection activeCell="A4" sqref="A4"/>
      <selection pane="topRight" activeCell="E4" sqref="E4"/>
      <selection pane="bottomLeft" activeCell="A9" sqref="A9"/>
      <selection pane="bottomRight" activeCell="K295" sqref="K295"/>
    </sheetView>
  </sheetViews>
  <sheetFormatPr defaultColWidth="9.140625" defaultRowHeight="14.1" customHeight="1" x14ac:dyDescent="0.25"/>
  <cols>
    <col min="1" max="1" width="4.140625" style="1" customWidth="1"/>
    <col min="2" max="2" width="21.140625" style="1" customWidth="1"/>
    <col min="3" max="3" width="58.85546875" style="1" customWidth="1"/>
    <col min="4" max="4" width="16.85546875" style="1" customWidth="1"/>
    <col min="5" max="5" width="18.140625" style="1" customWidth="1"/>
    <col min="6" max="6" width="15.85546875" style="1" customWidth="1"/>
    <col min="7" max="7" width="16" style="1" customWidth="1"/>
    <col min="8" max="8" width="19.5703125" style="1" customWidth="1"/>
    <col min="9" max="9" width="16.28515625" style="1" customWidth="1"/>
    <col min="10" max="10" width="16.7109375" style="1" customWidth="1"/>
    <col min="11" max="11" width="17.140625" style="1" customWidth="1"/>
    <col min="12" max="12" width="20" style="1" customWidth="1"/>
    <col min="13" max="13" width="21.85546875" style="1" customWidth="1"/>
    <col min="14" max="14" width="18.7109375" style="1" customWidth="1"/>
    <col min="15" max="15" width="15.5703125" style="1" bestFit="1" customWidth="1"/>
    <col min="16" max="16" width="12.5703125" style="1" bestFit="1" customWidth="1"/>
    <col min="17" max="17" width="11.5703125" style="1" bestFit="1" customWidth="1"/>
    <col min="18" max="18" width="12.5703125" style="1" bestFit="1" customWidth="1"/>
    <col min="19" max="16384" width="9.140625" style="1"/>
  </cols>
  <sheetData>
    <row r="1" spans="1:15" ht="14.1" customHeight="1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5" ht="14.1" customHeight="1" x14ac:dyDescent="0.2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5" ht="14.1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5" s="4" customFormat="1" ht="14.1" customHeight="1" x14ac:dyDescent="0.25">
      <c r="B4" s="5" t="s">
        <v>1</v>
      </c>
      <c r="C4" s="5"/>
    </row>
    <row r="5" spans="1:15" ht="14.1" customHeight="1" thickBot="1" x14ac:dyDescent="0.3">
      <c r="B5" s="6" t="s">
        <v>2</v>
      </c>
      <c r="D5" s="7"/>
    </row>
    <row r="6" spans="1:15" s="15" customFormat="1" ht="22.5" customHeight="1" x14ac:dyDescent="0.25">
      <c r="A6" s="8" t="s">
        <v>3</v>
      </c>
      <c r="B6" s="9" t="s">
        <v>4</v>
      </c>
      <c r="C6" s="10" t="s">
        <v>5</v>
      </c>
      <c r="D6" s="10" t="s">
        <v>6</v>
      </c>
      <c r="E6" s="11" t="s">
        <v>7</v>
      </c>
      <c r="F6" s="12"/>
      <c r="G6" s="12"/>
      <c r="H6" s="13"/>
      <c r="I6" s="11" t="s">
        <v>8</v>
      </c>
      <c r="J6" s="12"/>
      <c r="K6" s="12"/>
      <c r="L6" s="13"/>
      <c r="M6" s="14" t="s">
        <v>9</v>
      </c>
      <c r="N6" s="14" t="s">
        <v>10</v>
      </c>
    </row>
    <row r="7" spans="1:15" s="15" customFormat="1" ht="27" customHeight="1" x14ac:dyDescent="0.25">
      <c r="A7" s="16"/>
      <c r="B7" s="17"/>
      <c r="C7" s="18"/>
      <c r="D7" s="18"/>
      <c r="E7" s="19" t="s">
        <v>11</v>
      </c>
      <c r="F7" s="20" t="s">
        <v>12</v>
      </c>
      <c r="G7" s="20" t="s">
        <v>13</v>
      </c>
      <c r="H7" s="20" t="s">
        <v>14</v>
      </c>
      <c r="I7" s="19" t="s">
        <v>11</v>
      </c>
      <c r="J7" s="20" t="s">
        <v>12</v>
      </c>
      <c r="K7" s="20" t="s">
        <v>13</v>
      </c>
      <c r="L7" s="21" t="s">
        <v>14</v>
      </c>
      <c r="M7" s="22"/>
      <c r="N7" s="22"/>
    </row>
    <row r="8" spans="1:15" s="29" customFormat="1" ht="14.1" customHeight="1" thickBot="1" x14ac:dyDescent="0.3">
      <c r="A8" s="23">
        <v>1</v>
      </c>
      <c r="B8" s="24">
        <v>2</v>
      </c>
      <c r="C8" s="25">
        <v>3</v>
      </c>
      <c r="D8" s="25">
        <v>4</v>
      </c>
      <c r="E8" s="25">
        <v>5</v>
      </c>
      <c r="F8" s="25">
        <v>6</v>
      </c>
      <c r="G8" s="25">
        <v>7</v>
      </c>
      <c r="H8" s="25" t="s">
        <v>15</v>
      </c>
      <c r="I8" s="25">
        <v>9</v>
      </c>
      <c r="J8" s="25">
        <v>10</v>
      </c>
      <c r="K8" s="25">
        <v>11</v>
      </c>
      <c r="L8" s="26" t="s">
        <v>16</v>
      </c>
      <c r="M8" s="27" t="s">
        <v>17</v>
      </c>
      <c r="N8" s="27" t="s">
        <v>18</v>
      </c>
      <c r="O8" s="28"/>
    </row>
    <row r="9" spans="1:15" s="35" customFormat="1" ht="18.75" customHeight="1" thickTop="1" x14ac:dyDescent="0.25">
      <c r="A9" s="30"/>
      <c r="B9" s="31" t="s">
        <v>19</v>
      </c>
      <c r="C9" s="32" t="s">
        <v>20</v>
      </c>
      <c r="D9" s="33">
        <f>D10+D11</f>
        <v>2704866443.0999999</v>
      </c>
      <c r="E9" s="33">
        <f t="shared" ref="E9:N9" si="0">E10+E11</f>
        <v>364681500</v>
      </c>
      <c r="F9" s="33">
        <f t="shared" si="0"/>
        <v>100205300</v>
      </c>
      <c r="G9" s="33">
        <f t="shared" si="0"/>
        <v>0</v>
      </c>
      <c r="H9" s="33">
        <f t="shared" si="0"/>
        <v>464886800</v>
      </c>
      <c r="I9" s="33">
        <f t="shared" si="0"/>
        <v>84951274</v>
      </c>
      <c r="J9" s="33">
        <f t="shared" si="0"/>
        <v>58657480</v>
      </c>
      <c r="K9" s="33">
        <f t="shared" si="0"/>
        <v>34856444</v>
      </c>
      <c r="L9" s="33">
        <f t="shared" si="0"/>
        <v>178465198</v>
      </c>
      <c r="M9" s="33">
        <f t="shared" si="0"/>
        <v>643351998</v>
      </c>
      <c r="N9" s="33">
        <f t="shared" si="0"/>
        <v>2061514445.0999999</v>
      </c>
      <c r="O9" s="34"/>
    </row>
    <row r="10" spans="1:15" s="35" customFormat="1" ht="18.75" customHeight="1" x14ac:dyDescent="0.25">
      <c r="A10" s="30"/>
      <c r="B10" s="36" t="s">
        <v>21</v>
      </c>
      <c r="C10" s="37" t="s">
        <v>22</v>
      </c>
      <c r="D10" s="38">
        <f>D14+D58+D128+D172+D223</f>
        <v>2604966443.0999999</v>
      </c>
      <c r="E10" s="38">
        <f t="shared" ref="E10:N10" si="1">E14+E58+E128+E172+E223</f>
        <v>364681500</v>
      </c>
      <c r="F10" s="38">
        <f t="shared" si="1"/>
        <v>100205300</v>
      </c>
      <c r="G10" s="38">
        <f t="shared" si="1"/>
        <v>0</v>
      </c>
      <c r="H10" s="38">
        <f t="shared" si="1"/>
        <v>464886800</v>
      </c>
      <c r="I10" s="38">
        <f t="shared" si="1"/>
        <v>84951274</v>
      </c>
      <c r="J10" s="38">
        <f t="shared" si="1"/>
        <v>58657480</v>
      </c>
      <c r="K10" s="38">
        <f t="shared" si="1"/>
        <v>34856444</v>
      </c>
      <c r="L10" s="38">
        <f t="shared" si="1"/>
        <v>178465198</v>
      </c>
      <c r="M10" s="38">
        <f t="shared" si="1"/>
        <v>643351998</v>
      </c>
      <c r="N10" s="38">
        <f t="shared" si="1"/>
        <v>1961614445.0999999</v>
      </c>
      <c r="O10" s="34"/>
    </row>
    <row r="11" spans="1:15" s="35" customFormat="1" ht="18.75" customHeight="1" x14ac:dyDescent="0.25">
      <c r="A11" s="30"/>
      <c r="B11" s="36" t="s">
        <v>23</v>
      </c>
      <c r="C11" s="37" t="s">
        <v>24</v>
      </c>
      <c r="D11" s="38">
        <f>D60+D174</f>
        <v>99900000</v>
      </c>
      <c r="E11" s="38">
        <f t="shared" ref="E11:N11" si="2">E60+E174</f>
        <v>0</v>
      </c>
      <c r="F11" s="38">
        <f t="shared" si="2"/>
        <v>0</v>
      </c>
      <c r="G11" s="38">
        <f t="shared" si="2"/>
        <v>0</v>
      </c>
      <c r="H11" s="38">
        <f t="shared" si="2"/>
        <v>0</v>
      </c>
      <c r="I11" s="38">
        <f t="shared" si="2"/>
        <v>0</v>
      </c>
      <c r="J11" s="38">
        <f t="shared" si="2"/>
        <v>0</v>
      </c>
      <c r="K11" s="38">
        <f t="shared" si="2"/>
        <v>0</v>
      </c>
      <c r="L11" s="38">
        <f t="shared" si="2"/>
        <v>0</v>
      </c>
      <c r="M11" s="38">
        <f t="shared" si="2"/>
        <v>0</v>
      </c>
      <c r="N11" s="38">
        <f t="shared" si="2"/>
        <v>99900000</v>
      </c>
      <c r="O11" s="34"/>
    </row>
    <row r="12" spans="1:15" s="29" customFormat="1" ht="15.75" x14ac:dyDescent="0.25">
      <c r="A12" s="39" t="s">
        <v>25</v>
      </c>
      <c r="B12" s="40" t="s">
        <v>26</v>
      </c>
      <c r="C12" s="41" t="s">
        <v>27</v>
      </c>
      <c r="D12" s="42">
        <f>D13</f>
        <v>205052295</v>
      </c>
      <c r="E12" s="42">
        <f t="shared" ref="E12:N12" si="3">E13</f>
        <v>0</v>
      </c>
      <c r="F12" s="42">
        <f t="shared" si="3"/>
        <v>0</v>
      </c>
      <c r="G12" s="42">
        <f t="shared" si="3"/>
        <v>0</v>
      </c>
      <c r="H12" s="42">
        <f t="shared" si="3"/>
        <v>0</v>
      </c>
      <c r="I12" s="42">
        <f t="shared" si="3"/>
        <v>21608500</v>
      </c>
      <c r="J12" s="42">
        <f t="shared" si="3"/>
        <v>32648280</v>
      </c>
      <c r="K12" s="42">
        <f t="shared" si="3"/>
        <v>16861350</v>
      </c>
      <c r="L12" s="42">
        <f t="shared" si="3"/>
        <v>71118130</v>
      </c>
      <c r="M12" s="42">
        <f t="shared" si="3"/>
        <v>71118130</v>
      </c>
      <c r="N12" s="42">
        <f t="shared" si="3"/>
        <v>133934165</v>
      </c>
      <c r="O12" s="43">
        <f>D19+D25+D35+D42</f>
        <v>205052295</v>
      </c>
    </row>
    <row r="13" spans="1:15" s="35" customFormat="1" ht="15.75" x14ac:dyDescent="0.25">
      <c r="A13" s="30"/>
      <c r="B13" s="31" t="s">
        <v>19</v>
      </c>
      <c r="C13" s="32" t="s">
        <v>20</v>
      </c>
      <c r="D13" s="33">
        <f t="shared" ref="D13:N14" si="4">D14</f>
        <v>205052295</v>
      </c>
      <c r="E13" s="33">
        <f t="shared" si="4"/>
        <v>0</v>
      </c>
      <c r="F13" s="33">
        <f t="shared" si="4"/>
        <v>0</v>
      </c>
      <c r="G13" s="33">
        <f t="shared" si="4"/>
        <v>0</v>
      </c>
      <c r="H13" s="33">
        <f t="shared" si="4"/>
        <v>0</v>
      </c>
      <c r="I13" s="33">
        <f t="shared" si="4"/>
        <v>21608500</v>
      </c>
      <c r="J13" s="33">
        <f t="shared" si="4"/>
        <v>32648280</v>
      </c>
      <c r="K13" s="33">
        <f t="shared" si="4"/>
        <v>16861350</v>
      </c>
      <c r="L13" s="33">
        <f t="shared" si="4"/>
        <v>71118130</v>
      </c>
      <c r="M13" s="33">
        <f t="shared" si="4"/>
        <v>71118130</v>
      </c>
      <c r="N13" s="33">
        <f t="shared" si="4"/>
        <v>133934165</v>
      </c>
      <c r="O13" s="34"/>
    </row>
    <row r="14" spans="1:15" s="35" customFormat="1" ht="15.75" x14ac:dyDescent="0.25">
      <c r="A14" s="30"/>
      <c r="B14" s="36" t="s">
        <v>21</v>
      </c>
      <c r="C14" s="37" t="s">
        <v>22</v>
      </c>
      <c r="D14" s="38">
        <f>D15</f>
        <v>205052295</v>
      </c>
      <c r="E14" s="38">
        <f t="shared" si="4"/>
        <v>0</v>
      </c>
      <c r="F14" s="38">
        <f t="shared" si="4"/>
        <v>0</v>
      </c>
      <c r="G14" s="38">
        <f t="shared" si="4"/>
        <v>0</v>
      </c>
      <c r="H14" s="38">
        <f t="shared" si="4"/>
        <v>0</v>
      </c>
      <c r="I14" s="38">
        <f t="shared" si="4"/>
        <v>21608500</v>
      </c>
      <c r="J14" s="38">
        <f t="shared" si="4"/>
        <v>32648280</v>
      </c>
      <c r="K14" s="38">
        <f t="shared" si="4"/>
        <v>16861350</v>
      </c>
      <c r="L14" s="38">
        <f t="shared" si="4"/>
        <v>71118130</v>
      </c>
      <c r="M14" s="38">
        <f t="shared" si="4"/>
        <v>71118130</v>
      </c>
      <c r="N14" s="38">
        <f t="shared" si="4"/>
        <v>133934165</v>
      </c>
      <c r="O14" s="34"/>
    </row>
    <row r="15" spans="1:15" s="35" customFormat="1" ht="15.75" x14ac:dyDescent="0.25">
      <c r="A15" s="30"/>
      <c r="B15" s="36" t="s">
        <v>28</v>
      </c>
      <c r="C15" s="37" t="s">
        <v>29</v>
      </c>
      <c r="D15" s="38">
        <f>D21+D27+D37+D44</f>
        <v>205052295</v>
      </c>
      <c r="E15" s="38">
        <f t="shared" ref="E15:N15" si="5">E21+E27+E37+E44</f>
        <v>0</v>
      </c>
      <c r="F15" s="38">
        <f t="shared" si="5"/>
        <v>0</v>
      </c>
      <c r="G15" s="38">
        <f t="shared" si="5"/>
        <v>0</v>
      </c>
      <c r="H15" s="38">
        <f t="shared" si="5"/>
        <v>0</v>
      </c>
      <c r="I15" s="38">
        <f t="shared" si="5"/>
        <v>21608500</v>
      </c>
      <c r="J15" s="38">
        <f t="shared" si="5"/>
        <v>32648280</v>
      </c>
      <c r="K15" s="38">
        <f t="shared" si="5"/>
        <v>16861350</v>
      </c>
      <c r="L15" s="38">
        <f t="shared" si="5"/>
        <v>71118130</v>
      </c>
      <c r="M15" s="38">
        <f t="shared" si="5"/>
        <v>71118130</v>
      </c>
      <c r="N15" s="38">
        <f t="shared" si="5"/>
        <v>133934165</v>
      </c>
      <c r="O15" s="34"/>
    </row>
    <row r="16" spans="1:15" s="35" customFormat="1" ht="15.75" hidden="1" customHeight="1" x14ac:dyDescent="0.25">
      <c r="A16" s="30"/>
      <c r="B16" s="36" t="s">
        <v>30</v>
      </c>
      <c r="C16" s="37"/>
      <c r="D16" s="38" t="e">
        <f>SUM(#REF!,#REF!)</f>
        <v>#REF!</v>
      </c>
      <c r="E16" s="38" t="e">
        <f>SUM(#REF!,#REF!)</f>
        <v>#REF!</v>
      </c>
      <c r="F16" s="38" t="e">
        <f>SUM(#REF!,#REF!)</f>
        <v>#REF!</v>
      </c>
      <c r="G16" s="38" t="e">
        <f>SUM(#REF!,#REF!)</f>
        <v>#REF!</v>
      </c>
      <c r="H16" s="38" t="e">
        <f>SUM(#REF!,#REF!)</f>
        <v>#REF!</v>
      </c>
      <c r="I16" s="38" t="e">
        <f>SUM(#REF!,#REF!)</f>
        <v>#REF!</v>
      </c>
      <c r="J16" s="38" t="e">
        <f>SUM(#REF!,#REF!)</f>
        <v>#REF!</v>
      </c>
      <c r="K16" s="38" t="e">
        <f>SUM(#REF!,#REF!)</f>
        <v>#REF!</v>
      </c>
      <c r="L16" s="38" t="e">
        <f>SUM(#REF!,#REF!)</f>
        <v>#REF!</v>
      </c>
      <c r="M16" s="38" t="e">
        <f>SUM(#REF!,#REF!)</f>
        <v>#REF!</v>
      </c>
      <c r="N16" s="38" t="e">
        <f t="shared" ref="N16:N125" si="6">D16-M16</f>
        <v>#REF!</v>
      </c>
      <c r="O16" s="34"/>
    </row>
    <row r="17" spans="1:22" s="35" customFormat="1" ht="15.75" hidden="1" customHeight="1" x14ac:dyDescent="0.25">
      <c r="A17" s="30"/>
      <c r="B17" s="36" t="s">
        <v>21</v>
      </c>
      <c r="C17" s="37"/>
      <c r="D17" s="38" t="e">
        <f>#REF!+#REF!+#REF!</f>
        <v>#REF!</v>
      </c>
      <c r="E17" s="38" t="e">
        <f>#REF!+#REF!+#REF!</f>
        <v>#REF!</v>
      </c>
      <c r="F17" s="38" t="e">
        <f>#REF!+#REF!+#REF!</f>
        <v>#REF!</v>
      </c>
      <c r="G17" s="38" t="e">
        <f>#REF!+#REF!+#REF!</f>
        <v>#REF!</v>
      </c>
      <c r="H17" s="38" t="e">
        <f>#REF!+#REF!+#REF!</f>
        <v>#REF!</v>
      </c>
      <c r="I17" s="38" t="e">
        <f>#REF!+#REF!+#REF!</f>
        <v>#REF!</v>
      </c>
      <c r="J17" s="38" t="e">
        <f>#REF!+#REF!+#REF!</f>
        <v>#REF!</v>
      </c>
      <c r="K17" s="38" t="e">
        <f>#REF!+#REF!+#REF!</f>
        <v>#REF!</v>
      </c>
      <c r="L17" s="38" t="e">
        <f>#REF!+#REF!+#REF!</f>
        <v>#REF!</v>
      </c>
      <c r="M17" s="38" t="e">
        <f>#REF!+#REF!+#REF!</f>
        <v>#REF!</v>
      </c>
      <c r="N17" s="38" t="e">
        <f t="shared" si="6"/>
        <v>#REF!</v>
      </c>
      <c r="O17" s="34"/>
    </row>
    <row r="18" spans="1:22" s="35" customFormat="1" ht="15.75" hidden="1" customHeight="1" x14ac:dyDescent="0.25">
      <c r="A18" s="30"/>
      <c r="B18" s="36"/>
      <c r="C18" s="37"/>
      <c r="D18" s="38" t="e">
        <f>#REF!</f>
        <v>#REF!</v>
      </c>
      <c r="E18" s="38" t="e">
        <f>#REF!</f>
        <v>#REF!</v>
      </c>
      <c r="F18" s="38" t="e">
        <f>#REF!</f>
        <v>#REF!</v>
      </c>
      <c r="G18" s="38" t="e">
        <f>#REF!</f>
        <v>#REF!</v>
      </c>
      <c r="H18" s="38" t="e">
        <f>#REF!</f>
        <v>#REF!</v>
      </c>
      <c r="I18" s="38" t="e">
        <f>#REF!</f>
        <v>#REF!</v>
      </c>
      <c r="J18" s="38" t="e">
        <f>#REF!</f>
        <v>#REF!</v>
      </c>
      <c r="K18" s="38" t="e">
        <f>#REF!</f>
        <v>#REF!</v>
      </c>
      <c r="L18" s="38" t="e">
        <f>#REF!</f>
        <v>#REF!</v>
      </c>
      <c r="M18" s="38" t="e">
        <f>#REF!</f>
        <v>#REF!</v>
      </c>
      <c r="N18" s="38" t="e">
        <f t="shared" si="6"/>
        <v>#REF!</v>
      </c>
      <c r="O18" s="34"/>
    </row>
    <row r="19" spans="1:22" s="48" customFormat="1" ht="31.5" x14ac:dyDescent="0.25">
      <c r="A19" s="44" t="s">
        <v>31</v>
      </c>
      <c r="B19" s="45" t="s">
        <v>32</v>
      </c>
      <c r="C19" s="46" t="s">
        <v>33</v>
      </c>
      <c r="D19" s="47">
        <f>+D20</f>
        <v>11588000</v>
      </c>
      <c r="E19" s="47">
        <f t="shared" ref="E19:M21" si="7">+E20</f>
        <v>0</v>
      </c>
      <c r="F19" s="47">
        <f t="shared" si="7"/>
        <v>0</v>
      </c>
      <c r="G19" s="47">
        <f t="shared" si="7"/>
        <v>0</v>
      </c>
      <c r="H19" s="47">
        <f t="shared" si="7"/>
        <v>0</v>
      </c>
      <c r="I19" s="47">
        <f t="shared" si="7"/>
        <v>0</v>
      </c>
      <c r="J19" s="47">
        <f t="shared" si="7"/>
        <v>0</v>
      </c>
      <c r="K19" s="47">
        <f t="shared" si="7"/>
        <v>0</v>
      </c>
      <c r="L19" s="47">
        <f t="shared" si="7"/>
        <v>0</v>
      </c>
      <c r="M19" s="47">
        <f t="shared" si="7"/>
        <v>0</v>
      </c>
      <c r="N19" s="47">
        <f t="shared" si="6"/>
        <v>11588000</v>
      </c>
      <c r="O19" s="34"/>
      <c r="P19" s="35"/>
      <c r="Q19" s="35"/>
      <c r="R19" s="35"/>
      <c r="S19" s="35"/>
      <c r="T19" s="35"/>
      <c r="U19" s="35"/>
      <c r="V19" s="35"/>
    </row>
    <row r="20" spans="1:22" s="35" customFormat="1" ht="15.75" x14ac:dyDescent="0.25">
      <c r="A20" s="30"/>
      <c r="B20" s="49" t="s">
        <v>34</v>
      </c>
      <c r="C20" s="50" t="s">
        <v>22</v>
      </c>
      <c r="D20" s="38">
        <f>+D21</f>
        <v>11588000</v>
      </c>
      <c r="E20" s="38">
        <f t="shared" si="7"/>
        <v>0</v>
      </c>
      <c r="F20" s="38">
        <f t="shared" si="7"/>
        <v>0</v>
      </c>
      <c r="G20" s="38">
        <f t="shared" si="7"/>
        <v>0</v>
      </c>
      <c r="H20" s="38">
        <f t="shared" si="7"/>
        <v>0</v>
      </c>
      <c r="I20" s="38">
        <f t="shared" si="7"/>
        <v>0</v>
      </c>
      <c r="J20" s="38">
        <f t="shared" si="7"/>
        <v>0</v>
      </c>
      <c r="K20" s="38">
        <f t="shared" si="7"/>
        <v>0</v>
      </c>
      <c r="L20" s="38">
        <f t="shared" si="7"/>
        <v>0</v>
      </c>
      <c r="M20" s="38">
        <f t="shared" si="7"/>
        <v>0</v>
      </c>
      <c r="N20" s="38">
        <f t="shared" si="6"/>
        <v>11588000</v>
      </c>
      <c r="O20" s="34"/>
    </row>
    <row r="21" spans="1:22" s="35" customFormat="1" ht="15.75" x14ac:dyDescent="0.25">
      <c r="A21" s="30"/>
      <c r="B21" s="49" t="s">
        <v>28</v>
      </c>
      <c r="C21" s="50" t="s">
        <v>35</v>
      </c>
      <c r="D21" s="38">
        <f>+D22</f>
        <v>11588000</v>
      </c>
      <c r="E21" s="38">
        <f t="shared" si="7"/>
        <v>0</v>
      </c>
      <c r="F21" s="38">
        <f t="shared" si="7"/>
        <v>0</v>
      </c>
      <c r="G21" s="38">
        <f t="shared" si="7"/>
        <v>0</v>
      </c>
      <c r="H21" s="38">
        <f t="shared" si="7"/>
        <v>0</v>
      </c>
      <c r="I21" s="38">
        <f t="shared" si="7"/>
        <v>0</v>
      </c>
      <c r="J21" s="38">
        <f t="shared" si="7"/>
        <v>0</v>
      </c>
      <c r="K21" s="38">
        <f t="shared" si="7"/>
        <v>0</v>
      </c>
      <c r="L21" s="38">
        <f t="shared" si="7"/>
        <v>0</v>
      </c>
      <c r="M21" s="38">
        <f t="shared" si="7"/>
        <v>0</v>
      </c>
      <c r="N21" s="38">
        <f t="shared" si="6"/>
        <v>11588000</v>
      </c>
      <c r="O21" s="34"/>
    </row>
    <row r="22" spans="1:22" s="35" customFormat="1" ht="15.75" x14ac:dyDescent="0.25">
      <c r="A22" s="30"/>
      <c r="B22" s="49" t="s">
        <v>36</v>
      </c>
      <c r="C22" s="50" t="s">
        <v>37</v>
      </c>
      <c r="D22" s="38">
        <f>D23</f>
        <v>11588000</v>
      </c>
      <c r="E22" s="38">
        <f t="shared" ref="E22:M22" si="8">E23</f>
        <v>0</v>
      </c>
      <c r="F22" s="38">
        <f t="shared" si="8"/>
        <v>0</v>
      </c>
      <c r="G22" s="38">
        <f t="shared" si="8"/>
        <v>0</v>
      </c>
      <c r="H22" s="38">
        <f t="shared" si="8"/>
        <v>0</v>
      </c>
      <c r="I22" s="38">
        <f t="shared" si="8"/>
        <v>0</v>
      </c>
      <c r="J22" s="38">
        <f t="shared" si="8"/>
        <v>0</v>
      </c>
      <c r="K22" s="38">
        <f t="shared" si="8"/>
        <v>0</v>
      </c>
      <c r="L22" s="38">
        <f t="shared" si="8"/>
        <v>0</v>
      </c>
      <c r="M22" s="38">
        <f t="shared" si="8"/>
        <v>0</v>
      </c>
      <c r="N22" s="38">
        <f t="shared" si="6"/>
        <v>11588000</v>
      </c>
      <c r="O22" s="34"/>
    </row>
    <row r="23" spans="1:22" s="35" customFormat="1" ht="15.75" x14ac:dyDescent="0.25">
      <c r="A23" s="30"/>
      <c r="B23" s="49" t="s">
        <v>38</v>
      </c>
      <c r="C23" s="37" t="s">
        <v>39</v>
      </c>
      <c r="D23" s="38">
        <f>SUM(D24:D24)</f>
        <v>11588000</v>
      </c>
      <c r="E23" s="38">
        <f t="shared" ref="E23:M23" si="9">SUM(E24:E24)</f>
        <v>0</v>
      </c>
      <c r="F23" s="38">
        <f t="shared" si="9"/>
        <v>0</v>
      </c>
      <c r="G23" s="38">
        <f t="shared" si="9"/>
        <v>0</v>
      </c>
      <c r="H23" s="38">
        <f t="shared" si="9"/>
        <v>0</v>
      </c>
      <c r="I23" s="38">
        <f t="shared" si="9"/>
        <v>0</v>
      </c>
      <c r="J23" s="38">
        <f t="shared" si="9"/>
        <v>0</v>
      </c>
      <c r="K23" s="38">
        <f t="shared" si="9"/>
        <v>0</v>
      </c>
      <c r="L23" s="38">
        <f t="shared" si="9"/>
        <v>0</v>
      </c>
      <c r="M23" s="38">
        <f t="shared" si="9"/>
        <v>0</v>
      </c>
      <c r="N23" s="38">
        <f t="shared" si="6"/>
        <v>11588000</v>
      </c>
      <c r="O23" s="34"/>
    </row>
    <row r="24" spans="1:22" s="35" customFormat="1" ht="15.75" x14ac:dyDescent="0.25">
      <c r="A24" s="30"/>
      <c r="B24" s="51" t="s">
        <v>40</v>
      </c>
      <c r="C24" s="52" t="s">
        <v>41</v>
      </c>
      <c r="D24" s="53">
        <v>11588000</v>
      </c>
      <c r="E24" s="53"/>
      <c r="F24" s="53"/>
      <c r="G24" s="53"/>
      <c r="H24" s="53">
        <f>SUM(E24:G24)</f>
        <v>0</v>
      </c>
      <c r="I24" s="53"/>
      <c r="J24" s="53"/>
      <c r="K24" s="53"/>
      <c r="L24" s="53">
        <f>SUM(I24:K24)</f>
        <v>0</v>
      </c>
      <c r="M24" s="38">
        <f>H24+L24</f>
        <v>0</v>
      </c>
      <c r="N24" s="38">
        <f t="shared" si="6"/>
        <v>11588000</v>
      </c>
      <c r="O24" s="34"/>
    </row>
    <row r="25" spans="1:22" s="48" customFormat="1" ht="15.75" x14ac:dyDescent="0.25">
      <c r="A25" s="44" t="s">
        <v>42</v>
      </c>
      <c r="B25" s="45" t="s">
        <v>43</v>
      </c>
      <c r="C25" s="46" t="s">
        <v>44</v>
      </c>
      <c r="D25" s="47">
        <f>D26</f>
        <v>84702795</v>
      </c>
      <c r="E25" s="47">
        <f t="shared" ref="E25:M25" si="10">E26</f>
        <v>0</v>
      </c>
      <c r="F25" s="47">
        <f t="shared" si="10"/>
        <v>0</v>
      </c>
      <c r="G25" s="47">
        <f t="shared" si="10"/>
        <v>0</v>
      </c>
      <c r="H25" s="47">
        <f t="shared" si="10"/>
        <v>0</v>
      </c>
      <c r="I25" s="47">
        <f t="shared" si="10"/>
        <v>0</v>
      </c>
      <c r="J25" s="47">
        <f t="shared" si="10"/>
        <v>29627280</v>
      </c>
      <c r="K25" s="47">
        <f t="shared" si="10"/>
        <v>13121350</v>
      </c>
      <c r="L25" s="47">
        <f t="shared" si="10"/>
        <v>42748630</v>
      </c>
      <c r="M25" s="47">
        <f t="shared" si="10"/>
        <v>42748630</v>
      </c>
      <c r="N25" s="47">
        <f t="shared" si="6"/>
        <v>41954165</v>
      </c>
      <c r="O25" s="54">
        <f>J25+K25</f>
        <v>42748630</v>
      </c>
      <c r="P25" s="35"/>
      <c r="Q25" s="35"/>
      <c r="R25" s="35"/>
      <c r="S25" s="35"/>
      <c r="T25" s="35"/>
      <c r="U25" s="35"/>
      <c r="V25" s="35"/>
    </row>
    <row r="26" spans="1:22" s="35" customFormat="1" ht="15.75" x14ac:dyDescent="0.25">
      <c r="A26" s="30"/>
      <c r="B26" s="49" t="s">
        <v>34</v>
      </c>
      <c r="C26" s="50" t="s">
        <v>22</v>
      </c>
      <c r="D26" s="38">
        <f>+D27</f>
        <v>84702795</v>
      </c>
      <c r="E26" s="38">
        <f t="shared" ref="E26:M26" si="11">+E27</f>
        <v>0</v>
      </c>
      <c r="F26" s="38">
        <f t="shared" si="11"/>
        <v>0</v>
      </c>
      <c r="G26" s="38">
        <f t="shared" si="11"/>
        <v>0</v>
      </c>
      <c r="H26" s="38">
        <f t="shared" si="11"/>
        <v>0</v>
      </c>
      <c r="I26" s="38">
        <f t="shared" si="11"/>
        <v>0</v>
      </c>
      <c r="J26" s="38">
        <f t="shared" si="11"/>
        <v>29627280</v>
      </c>
      <c r="K26" s="38">
        <f t="shared" si="11"/>
        <v>13121350</v>
      </c>
      <c r="L26" s="38">
        <f t="shared" si="11"/>
        <v>42748630</v>
      </c>
      <c r="M26" s="38">
        <f t="shared" si="11"/>
        <v>42748630</v>
      </c>
      <c r="N26" s="38">
        <f t="shared" si="6"/>
        <v>41954165</v>
      </c>
      <c r="O26" s="34"/>
    </row>
    <row r="27" spans="1:22" s="35" customFormat="1" ht="15.75" x14ac:dyDescent="0.25">
      <c r="A27" s="30"/>
      <c r="B27" s="49" t="s">
        <v>28</v>
      </c>
      <c r="C27" s="50" t="s">
        <v>35</v>
      </c>
      <c r="D27" s="38">
        <f>D28</f>
        <v>84702795</v>
      </c>
      <c r="E27" s="38">
        <f t="shared" ref="E27:M28" si="12">E28</f>
        <v>0</v>
      </c>
      <c r="F27" s="38">
        <f t="shared" si="12"/>
        <v>0</v>
      </c>
      <c r="G27" s="38">
        <f t="shared" si="12"/>
        <v>0</v>
      </c>
      <c r="H27" s="38">
        <f t="shared" si="12"/>
        <v>0</v>
      </c>
      <c r="I27" s="38">
        <f t="shared" si="12"/>
        <v>0</v>
      </c>
      <c r="J27" s="38">
        <f t="shared" si="12"/>
        <v>29627280</v>
      </c>
      <c r="K27" s="38">
        <f t="shared" si="12"/>
        <v>13121350</v>
      </c>
      <c r="L27" s="38">
        <f t="shared" si="12"/>
        <v>42748630</v>
      </c>
      <c r="M27" s="38">
        <f t="shared" si="12"/>
        <v>42748630</v>
      </c>
      <c r="N27" s="38">
        <f t="shared" si="6"/>
        <v>41954165</v>
      </c>
      <c r="O27" s="34"/>
    </row>
    <row r="28" spans="1:22" s="35" customFormat="1" ht="15.75" x14ac:dyDescent="0.25">
      <c r="A28" s="30"/>
      <c r="B28" s="49" t="s">
        <v>36</v>
      </c>
      <c r="C28" s="50" t="s">
        <v>37</v>
      </c>
      <c r="D28" s="38">
        <f>D29</f>
        <v>84702795</v>
      </c>
      <c r="E28" s="38">
        <f t="shared" si="12"/>
        <v>0</v>
      </c>
      <c r="F28" s="38">
        <f t="shared" si="12"/>
        <v>0</v>
      </c>
      <c r="G28" s="38">
        <f t="shared" si="12"/>
        <v>0</v>
      </c>
      <c r="H28" s="38">
        <f t="shared" si="12"/>
        <v>0</v>
      </c>
      <c r="I28" s="38">
        <f t="shared" si="12"/>
        <v>0</v>
      </c>
      <c r="J28" s="38">
        <f t="shared" si="12"/>
        <v>29627280</v>
      </c>
      <c r="K28" s="38">
        <f t="shared" si="12"/>
        <v>13121350</v>
      </c>
      <c r="L28" s="38">
        <f t="shared" si="12"/>
        <v>42748630</v>
      </c>
      <c r="M28" s="38">
        <f t="shared" si="12"/>
        <v>42748630</v>
      </c>
      <c r="N28" s="38">
        <f t="shared" si="6"/>
        <v>41954165</v>
      </c>
      <c r="O28" s="34"/>
    </row>
    <row r="29" spans="1:22" s="35" customFormat="1" ht="15.75" x14ac:dyDescent="0.25">
      <c r="A29" s="30"/>
      <c r="B29" s="49" t="s">
        <v>38</v>
      </c>
      <c r="C29" s="37" t="s">
        <v>39</v>
      </c>
      <c r="D29" s="38">
        <f>SUM(D30:D34)</f>
        <v>84702795</v>
      </c>
      <c r="E29" s="38">
        <f t="shared" ref="E29:M29" si="13">SUM(E30:E34)</f>
        <v>0</v>
      </c>
      <c r="F29" s="38">
        <f t="shared" si="13"/>
        <v>0</v>
      </c>
      <c r="G29" s="38">
        <f t="shared" si="13"/>
        <v>0</v>
      </c>
      <c r="H29" s="38">
        <f t="shared" si="13"/>
        <v>0</v>
      </c>
      <c r="I29" s="38">
        <f t="shared" si="13"/>
        <v>0</v>
      </c>
      <c r="J29" s="38">
        <f t="shared" si="13"/>
        <v>29627280</v>
      </c>
      <c r="K29" s="38">
        <f t="shared" si="13"/>
        <v>13121350</v>
      </c>
      <c r="L29" s="38">
        <f t="shared" si="13"/>
        <v>42748630</v>
      </c>
      <c r="M29" s="38">
        <f t="shared" si="13"/>
        <v>42748630</v>
      </c>
      <c r="N29" s="38">
        <f t="shared" si="6"/>
        <v>41954165</v>
      </c>
      <c r="O29" s="34"/>
    </row>
    <row r="30" spans="1:22" s="35" customFormat="1" ht="15.75" x14ac:dyDescent="0.25">
      <c r="A30" s="30"/>
      <c r="B30" s="51" t="s">
        <v>45</v>
      </c>
      <c r="C30" s="52" t="s">
        <v>46</v>
      </c>
      <c r="D30" s="53">
        <v>10296000</v>
      </c>
      <c r="E30" s="53"/>
      <c r="F30" s="53"/>
      <c r="G30" s="53"/>
      <c r="H30" s="53">
        <f>SUM(E30:G30)</f>
        <v>0</v>
      </c>
      <c r="I30" s="53"/>
      <c r="J30" s="53"/>
      <c r="K30" s="53"/>
      <c r="L30" s="53">
        <f>SUM(I30:K30)</f>
        <v>0</v>
      </c>
      <c r="M30" s="53">
        <f>H30+L30</f>
        <v>0</v>
      </c>
      <c r="N30" s="53">
        <f t="shared" si="6"/>
        <v>10296000</v>
      </c>
      <c r="O30" s="34"/>
    </row>
    <row r="31" spans="1:22" s="35" customFormat="1" ht="15.75" x14ac:dyDescent="0.25">
      <c r="A31" s="30"/>
      <c r="B31" s="51" t="s">
        <v>47</v>
      </c>
      <c r="C31" s="52" t="s">
        <v>48</v>
      </c>
      <c r="D31" s="53">
        <v>16156355</v>
      </c>
      <c r="E31" s="53"/>
      <c r="F31" s="53"/>
      <c r="G31" s="53"/>
      <c r="H31" s="53">
        <f>SUM(E31:G31)</f>
        <v>0</v>
      </c>
      <c r="I31" s="53"/>
      <c r="J31" s="53"/>
      <c r="K31" s="53">
        <v>13121350</v>
      </c>
      <c r="L31" s="53">
        <f>SUM(I31:K31)</f>
        <v>13121350</v>
      </c>
      <c r="M31" s="53">
        <f>H31+L31</f>
        <v>13121350</v>
      </c>
      <c r="N31" s="53">
        <f t="shared" si="6"/>
        <v>3035005</v>
      </c>
      <c r="O31" s="34"/>
    </row>
    <row r="32" spans="1:22" s="35" customFormat="1" ht="15.75" x14ac:dyDescent="0.25">
      <c r="A32" s="30"/>
      <c r="B32" s="51" t="s">
        <v>49</v>
      </c>
      <c r="C32" s="52" t="s">
        <v>50</v>
      </c>
      <c r="D32" s="53">
        <v>22919640</v>
      </c>
      <c r="E32" s="53"/>
      <c r="F32" s="53"/>
      <c r="G32" s="53"/>
      <c r="H32" s="53">
        <f>SUM(E32:G32)</f>
        <v>0</v>
      </c>
      <c r="I32" s="53"/>
      <c r="J32" s="53"/>
      <c r="K32" s="53"/>
      <c r="L32" s="53">
        <f>SUM(I32:K32)</f>
        <v>0</v>
      </c>
      <c r="M32" s="53">
        <f>H32+L32</f>
        <v>0</v>
      </c>
      <c r="N32" s="53">
        <f t="shared" si="6"/>
        <v>22919640</v>
      </c>
      <c r="O32" s="34"/>
    </row>
    <row r="33" spans="1:16" s="35" customFormat="1" ht="15.75" x14ac:dyDescent="0.25">
      <c r="A33" s="30"/>
      <c r="B33" s="51" t="s">
        <v>51</v>
      </c>
      <c r="C33" s="52" t="s">
        <v>52</v>
      </c>
      <c r="D33" s="53">
        <v>1000000</v>
      </c>
      <c r="E33" s="53"/>
      <c r="F33" s="53"/>
      <c r="G33" s="53"/>
      <c r="H33" s="53">
        <f>SUM(E33:G33)</f>
        <v>0</v>
      </c>
      <c r="I33" s="53"/>
      <c r="J33" s="53"/>
      <c r="K33" s="53"/>
      <c r="L33" s="53">
        <f>SUM(I33:K33)</f>
        <v>0</v>
      </c>
      <c r="M33" s="53">
        <f>H33+L33</f>
        <v>0</v>
      </c>
      <c r="N33" s="53">
        <f t="shared" si="6"/>
        <v>1000000</v>
      </c>
      <c r="O33" s="34"/>
    </row>
    <row r="34" spans="1:16" s="35" customFormat="1" ht="15.75" x14ac:dyDescent="0.25">
      <c r="A34" s="30"/>
      <c r="B34" s="51" t="s">
        <v>53</v>
      </c>
      <c r="C34" s="52" t="s">
        <v>54</v>
      </c>
      <c r="D34" s="53">
        <v>34330800</v>
      </c>
      <c r="E34" s="53"/>
      <c r="F34" s="53"/>
      <c r="G34" s="53"/>
      <c r="H34" s="53">
        <f>SUM(E34:G34)</f>
        <v>0</v>
      </c>
      <c r="I34" s="53"/>
      <c r="J34" s="53">
        <v>29627280</v>
      </c>
      <c r="K34" s="53"/>
      <c r="L34" s="53">
        <f>SUM(I34:K34)</f>
        <v>29627280</v>
      </c>
      <c r="M34" s="53">
        <f>H34+L34</f>
        <v>29627280</v>
      </c>
      <c r="N34" s="53">
        <f t="shared" si="6"/>
        <v>4703520</v>
      </c>
      <c r="O34" s="34"/>
    </row>
    <row r="35" spans="1:16" s="35" customFormat="1" ht="31.5" x14ac:dyDescent="0.25">
      <c r="A35" s="44" t="s">
        <v>55</v>
      </c>
      <c r="B35" s="45" t="s">
        <v>56</v>
      </c>
      <c r="C35" s="46" t="s">
        <v>57</v>
      </c>
      <c r="D35" s="47">
        <f>+D36</f>
        <v>16982000</v>
      </c>
      <c r="E35" s="47">
        <f t="shared" ref="E35:M37" si="14">+E36</f>
        <v>0</v>
      </c>
      <c r="F35" s="47">
        <f t="shared" si="14"/>
        <v>0</v>
      </c>
      <c r="G35" s="47">
        <f t="shared" si="14"/>
        <v>0</v>
      </c>
      <c r="H35" s="47">
        <f t="shared" si="14"/>
        <v>0</v>
      </c>
      <c r="I35" s="47">
        <f t="shared" si="14"/>
        <v>0</v>
      </c>
      <c r="J35" s="47">
        <f t="shared" si="14"/>
        <v>0</v>
      </c>
      <c r="K35" s="47">
        <f t="shared" si="14"/>
        <v>0</v>
      </c>
      <c r="L35" s="47">
        <f t="shared" si="14"/>
        <v>0</v>
      </c>
      <c r="M35" s="47">
        <f t="shared" si="14"/>
        <v>0</v>
      </c>
      <c r="N35" s="47">
        <f t="shared" si="6"/>
        <v>16982000</v>
      </c>
      <c r="O35" s="54">
        <f>J35+K35</f>
        <v>0</v>
      </c>
    </row>
    <row r="36" spans="1:16" s="35" customFormat="1" ht="15.75" x14ac:dyDescent="0.25">
      <c r="A36" s="30"/>
      <c r="B36" s="49" t="s">
        <v>34</v>
      </c>
      <c r="C36" s="50" t="s">
        <v>22</v>
      </c>
      <c r="D36" s="38">
        <f>+D37</f>
        <v>16982000</v>
      </c>
      <c r="E36" s="38">
        <f t="shared" si="14"/>
        <v>0</v>
      </c>
      <c r="F36" s="38">
        <f t="shared" si="14"/>
        <v>0</v>
      </c>
      <c r="G36" s="38">
        <f t="shared" si="14"/>
        <v>0</v>
      </c>
      <c r="H36" s="38">
        <f t="shared" si="14"/>
        <v>0</v>
      </c>
      <c r="I36" s="38">
        <f t="shared" si="14"/>
        <v>0</v>
      </c>
      <c r="J36" s="38">
        <f t="shared" si="14"/>
        <v>0</v>
      </c>
      <c r="K36" s="38">
        <f t="shared" si="14"/>
        <v>0</v>
      </c>
      <c r="L36" s="38">
        <f t="shared" si="14"/>
        <v>0</v>
      </c>
      <c r="M36" s="38">
        <f t="shared" si="14"/>
        <v>0</v>
      </c>
      <c r="N36" s="38">
        <f t="shared" si="6"/>
        <v>16982000</v>
      </c>
      <c r="O36" s="34"/>
    </row>
    <row r="37" spans="1:16" s="35" customFormat="1" ht="15.75" x14ac:dyDescent="0.25">
      <c r="A37" s="30"/>
      <c r="B37" s="49" t="s">
        <v>28</v>
      </c>
      <c r="C37" s="50" t="s">
        <v>35</v>
      </c>
      <c r="D37" s="38">
        <f>+D38</f>
        <v>16982000</v>
      </c>
      <c r="E37" s="38">
        <f t="shared" si="14"/>
        <v>0</v>
      </c>
      <c r="F37" s="38">
        <f t="shared" si="14"/>
        <v>0</v>
      </c>
      <c r="G37" s="38">
        <f t="shared" si="14"/>
        <v>0</v>
      </c>
      <c r="H37" s="38">
        <f t="shared" si="14"/>
        <v>0</v>
      </c>
      <c r="I37" s="38">
        <f t="shared" si="14"/>
        <v>0</v>
      </c>
      <c r="J37" s="38">
        <f t="shared" si="14"/>
        <v>0</v>
      </c>
      <c r="K37" s="38">
        <f t="shared" si="14"/>
        <v>0</v>
      </c>
      <c r="L37" s="38">
        <f t="shared" si="14"/>
        <v>0</v>
      </c>
      <c r="M37" s="38">
        <f t="shared" si="14"/>
        <v>0</v>
      </c>
      <c r="N37" s="38">
        <f t="shared" si="6"/>
        <v>16982000</v>
      </c>
      <c r="O37" s="34"/>
    </row>
    <row r="38" spans="1:16" s="35" customFormat="1" ht="15.75" x14ac:dyDescent="0.25">
      <c r="A38" s="30"/>
      <c r="B38" s="49" t="s">
        <v>36</v>
      </c>
      <c r="C38" s="50" t="s">
        <v>37</v>
      </c>
      <c r="D38" s="38">
        <f>D39</f>
        <v>16982000</v>
      </c>
      <c r="E38" s="38">
        <f t="shared" ref="E38:M38" si="15">E39</f>
        <v>0</v>
      </c>
      <c r="F38" s="38">
        <f t="shared" si="15"/>
        <v>0</v>
      </c>
      <c r="G38" s="38">
        <f t="shared" si="15"/>
        <v>0</v>
      </c>
      <c r="H38" s="38">
        <f t="shared" si="15"/>
        <v>0</v>
      </c>
      <c r="I38" s="38">
        <f t="shared" si="15"/>
        <v>0</v>
      </c>
      <c r="J38" s="38">
        <f t="shared" si="15"/>
        <v>0</v>
      </c>
      <c r="K38" s="38">
        <f t="shared" si="15"/>
        <v>0</v>
      </c>
      <c r="L38" s="38">
        <f t="shared" si="15"/>
        <v>0</v>
      </c>
      <c r="M38" s="38">
        <f t="shared" si="15"/>
        <v>0</v>
      </c>
      <c r="N38" s="38">
        <f t="shared" si="6"/>
        <v>16982000</v>
      </c>
      <c r="O38" s="34"/>
    </row>
    <row r="39" spans="1:16" s="35" customFormat="1" ht="15.75" x14ac:dyDescent="0.25">
      <c r="A39" s="30"/>
      <c r="B39" s="49" t="s">
        <v>38</v>
      </c>
      <c r="C39" s="37" t="s">
        <v>39</v>
      </c>
      <c r="D39" s="38">
        <f>D40+D41</f>
        <v>16982000</v>
      </c>
      <c r="E39" s="38">
        <f t="shared" ref="E39:M39" si="16">E40+E41</f>
        <v>0</v>
      </c>
      <c r="F39" s="38">
        <f t="shared" si="16"/>
        <v>0</v>
      </c>
      <c r="G39" s="38">
        <f t="shared" si="16"/>
        <v>0</v>
      </c>
      <c r="H39" s="38">
        <f t="shared" si="16"/>
        <v>0</v>
      </c>
      <c r="I39" s="38">
        <f t="shared" si="16"/>
        <v>0</v>
      </c>
      <c r="J39" s="38">
        <f t="shared" si="16"/>
        <v>0</v>
      </c>
      <c r="K39" s="38">
        <f t="shared" si="16"/>
        <v>0</v>
      </c>
      <c r="L39" s="38">
        <f t="shared" si="16"/>
        <v>0</v>
      </c>
      <c r="M39" s="38">
        <f t="shared" si="16"/>
        <v>0</v>
      </c>
      <c r="N39" s="38">
        <f t="shared" si="6"/>
        <v>16982000</v>
      </c>
      <c r="O39" s="34"/>
    </row>
    <row r="40" spans="1:16" s="35" customFormat="1" ht="15.75" x14ac:dyDescent="0.25">
      <c r="A40" s="30"/>
      <c r="B40" s="51" t="s">
        <v>47</v>
      </c>
      <c r="C40" s="52" t="s">
        <v>48</v>
      </c>
      <c r="D40" s="53">
        <v>10250000</v>
      </c>
      <c r="E40" s="53"/>
      <c r="F40" s="53"/>
      <c r="G40" s="53"/>
      <c r="H40" s="53">
        <f>SUM(E40:G40)</f>
        <v>0</v>
      </c>
      <c r="I40" s="53"/>
      <c r="J40" s="53"/>
      <c r="K40" s="53"/>
      <c r="L40" s="53">
        <f>SUM(I40:K40)</f>
        <v>0</v>
      </c>
      <c r="M40" s="53">
        <f>H40+L40</f>
        <v>0</v>
      </c>
      <c r="N40" s="53">
        <f t="shared" si="6"/>
        <v>10250000</v>
      </c>
      <c r="O40" s="34"/>
    </row>
    <row r="41" spans="1:16" s="35" customFormat="1" ht="15.75" x14ac:dyDescent="0.25">
      <c r="A41" s="30"/>
      <c r="B41" s="51" t="s">
        <v>58</v>
      </c>
      <c r="C41" s="52" t="s">
        <v>59</v>
      </c>
      <c r="D41" s="53">
        <v>6732000</v>
      </c>
      <c r="E41" s="53"/>
      <c r="F41" s="53"/>
      <c r="G41" s="53"/>
      <c r="H41" s="53">
        <f>SUM(E41:G41)</f>
        <v>0</v>
      </c>
      <c r="I41" s="53"/>
      <c r="J41" s="53"/>
      <c r="K41" s="53"/>
      <c r="L41" s="53">
        <f>SUM(I41:K41)</f>
        <v>0</v>
      </c>
      <c r="M41" s="53">
        <f>H41+L41</f>
        <v>0</v>
      </c>
      <c r="N41" s="53">
        <f t="shared" si="6"/>
        <v>6732000</v>
      </c>
      <c r="O41" s="34"/>
    </row>
    <row r="42" spans="1:16" s="35" customFormat="1" ht="31.5" x14ac:dyDescent="0.25">
      <c r="A42" s="44" t="s">
        <v>60</v>
      </c>
      <c r="B42" s="45" t="s">
        <v>61</v>
      </c>
      <c r="C42" s="46" t="s">
        <v>62</v>
      </c>
      <c r="D42" s="47">
        <f>+D43</f>
        <v>91779500</v>
      </c>
      <c r="E42" s="47">
        <f t="shared" ref="E42:N43" si="17">+E43</f>
        <v>0</v>
      </c>
      <c r="F42" s="47">
        <f t="shared" si="17"/>
        <v>0</v>
      </c>
      <c r="G42" s="47">
        <f t="shared" si="17"/>
        <v>0</v>
      </c>
      <c r="H42" s="47">
        <f t="shared" si="17"/>
        <v>0</v>
      </c>
      <c r="I42" s="47">
        <f t="shared" si="17"/>
        <v>21608500</v>
      </c>
      <c r="J42" s="47">
        <f t="shared" si="17"/>
        <v>3021000</v>
      </c>
      <c r="K42" s="47">
        <f t="shared" si="17"/>
        <v>3740000</v>
      </c>
      <c r="L42" s="47">
        <f t="shared" si="17"/>
        <v>28369500</v>
      </c>
      <c r="M42" s="47">
        <f t="shared" si="17"/>
        <v>28369500</v>
      </c>
      <c r="N42" s="47">
        <f t="shared" si="17"/>
        <v>63410000</v>
      </c>
      <c r="O42" s="54">
        <f>J42+K42</f>
        <v>6761000</v>
      </c>
    </row>
    <row r="43" spans="1:16" s="35" customFormat="1" ht="15.75" x14ac:dyDescent="0.25">
      <c r="A43" s="30"/>
      <c r="B43" s="49" t="s">
        <v>34</v>
      </c>
      <c r="C43" s="50" t="s">
        <v>22</v>
      </c>
      <c r="D43" s="38">
        <f>+D44</f>
        <v>91779500</v>
      </c>
      <c r="E43" s="38">
        <f t="shared" si="17"/>
        <v>0</v>
      </c>
      <c r="F43" s="38">
        <f t="shared" si="17"/>
        <v>0</v>
      </c>
      <c r="G43" s="38">
        <f t="shared" si="17"/>
        <v>0</v>
      </c>
      <c r="H43" s="38">
        <f t="shared" si="17"/>
        <v>0</v>
      </c>
      <c r="I43" s="38">
        <f t="shared" si="17"/>
        <v>21608500</v>
      </c>
      <c r="J43" s="38">
        <f t="shared" si="17"/>
        <v>3021000</v>
      </c>
      <c r="K43" s="38">
        <f t="shared" si="17"/>
        <v>3740000</v>
      </c>
      <c r="L43" s="38">
        <f t="shared" si="17"/>
        <v>28369500</v>
      </c>
      <c r="M43" s="38">
        <f t="shared" si="17"/>
        <v>28369500</v>
      </c>
      <c r="N43" s="38">
        <f t="shared" si="17"/>
        <v>63410000</v>
      </c>
      <c r="O43" s="34"/>
      <c r="P43" s="55">
        <f>P45-J54</f>
        <v>18080000</v>
      </c>
    </row>
    <row r="44" spans="1:16" s="35" customFormat="1" ht="15.75" x14ac:dyDescent="0.25">
      <c r="A44" s="30"/>
      <c r="B44" s="49" t="s">
        <v>28</v>
      </c>
      <c r="C44" s="50" t="s">
        <v>35</v>
      </c>
      <c r="D44" s="38">
        <f>D46+D53+D49</f>
        <v>91779500</v>
      </c>
      <c r="E44" s="38">
        <f t="shared" ref="E44:N44" si="18">E46+E53+E49</f>
        <v>0</v>
      </c>
      <c r="F44" s="38">
        <f t="shared" si="18"/>
        <v>0</v>
      </c>
      <c r="G44" s="38">
        <f t="shared" si="18"/>
        <v>0</v>
      </c>
      <c r="H44" s="38">
        <f t="shared" si="18"/>
        <v>0</v>
      </c>
      <c r="I44" s="38">
        <f t="shared" si="18"/>
        <v>21608500</v>
      </c>
      <c r="J44" s="38">
        <f t="shared" si="18"/>
        <v>3021000</v>
      </c>
      <c r="K44" s="38">
        <f t="shared" si="18"/>
        <v>3740000</v>
      </c>
      <c r="L44" s="38">
        <f t="shared" si="18"/>
        <v>28369500</v>
      </c>
      <c r="M44" s="38">
        <f t="shared" si="18"/>
        <v>28369500</v>
      </c>
      <c r="N44" s="38">
        <f t="shared" si="18"/>
        <v>63410000</v>
      </c>
      <c r="O44" s="34"/>
    </row>
    <row r="45" spans="1:16" s="35" customFormat="1" ht="15.75" x14ac:dyDescent="0.25">
      <c r="A45" s="30"/>
      <c r="B45" s="49" t="s">
        <v>36</v>
      </c>
      <c r="C45" s="50" t="s">
        <v>37</v>
      </c>
      <c r="D45" s="38">
        <f t="shared" ref="D45:N45" si="19">D46</f>
        <v>31780000</v>
      </c>
      <c r="E45" s="38">
        <f t="shared" si="19"/>
        <v>0</v>
      </c>
      <c r="F45" s="38">
        <f t="shared" si="19"/>
        <v>0</v>
      </c>
      <c r="G45" s="38">
        <f t="shared" si="19"/>
        <v>0</v>
      </c>
      <c r="H45" s="38">
        <f t="shared" si="19"/>
        <v>0</v>
      </c>
      <c r="I45" s="38">
        <f t="shared" si="19"/>
        <v>2663500</v>
      </c>
      <c r="J45" s="38">
        <f t="shared" si="19"/>
        <v>1521000</v>
      </c>
      <c r="K45" s="38">
        <f t="shared" si="19"/>
        <v>1590000</v>
      </c>
      <c r="L45" s="38">
        <f t="shared" si="19"/>
        <v>5774500</v>
      </c>
      <c r="M45" s="38">
        <f t="shared" si="19"/>
        <v>5774500</v>
      </c>
      <c r="N45" s="38">
        <f t="shared" si="19"/>
        <v>26005500</v>
      </c>
      <c r="O45" s="34"/>
      <c r="P45" s="35">
        <v>19580000</v>
      </c>
    </row>
    <row r="46" spans="1:16" s="35" customFormat="1" ht="15.75" x14ac:dyDescent="0.25">
      <c r="A46" s="30"/>
      <c r="B46" s="49" t="s">
        <v>38</v>
      </c>
      <c r="C46" s="37" t="s">
        <v>39</v>
      </c>
      <c r="D46" s="38">
        <f t="shared" ref="D46:N46" si="20">SUM(D47:D48)</f>
        <v>31780000</v>
      </c>
      <c r="E46" s="38">
        <f t="shared" si="20"/>
        <v>0</v>
      </c>
      <c r="F46" s="38">
        <f t="shared" si="20"/>
        <v>0</v>
      </c>
      <c r="G46" s="38">
        <f t="shared" si="20"/>
        <v>0</v>
      </c>
      <c r="H46" s="38">
        <f t="shared" si="20"/>
        <v>0</v>
      </c>
      <c r="I46" s="38">
        <f t="shared" si="20"/>
        <v>2663500</v>
      </c>
      <c r="J46" s="38">
        <f t="shared" si="20"/>
        <v>1521000</v>
      </c>
      <c r="K46" s="38">
        <f t="shared" si="20"/>
        <v>1590000</v>
      </c>
      <c r="L46" s="38">
        <f t="shared" si="20"/>
        <v>5774500</v>
      </c>
      <c r="M46" s="38">
        <f t="shared" si="20"/>
        <v>5774500</v>
      </c>
      <c r="N46" s="38">
        <f t="shared" si="20"/>
        <v>26005500</v>
      </c>
      <c r="O46" s="34"/>
    </row>
    <row r="47" spans="1:16" s="35" customFormat="1" ht="15.75" x14ac:dyDescent="0.25">
      <c r="A47" s="30"/>
      <c r="B47" s="51" t="s">
        <v>63</v>
      </c>
      <c r="C47" s="52" t="s">
        <v>64</v>
      </c>
      <c r="D47" s="53">
        <v>14780000</v>
      </c>
      <c r="E47" s="53"/>
      <c r="F47" s="53"/>
      <c r="G47" s="53"/>
      <c r="H47" s="53">
        <f>SUM(E47:G47)</f>
        <v>0</v>
      </c>
      <c r="I47" s="53">
        <v>1813500</v>
      </c>
      <c r="J47" s="53">
        <v>621000</v>
      </c>
      <c r="K47" s="53">
        <v>690000</v>
      </c>
      <c r="L47" s="53">
        <f>SUM(I47:K47)</f>
        <v>3124500</v>
      </c>
      <c r="M47" s="53">
        <f>H47+L47</f>
        <v>3124500</v>
      </c>
      <c r="N47" s="53">
        <f t="shared" si="6"/>
        <v>11655500</v>
      </c>
      <c r="O47" s="54">
        <f>J47+K47</f>
        <v>1311000</v>
      </c>
    </row>
    <row r="48" spans="1:16" s="35" customFormat="1" ht="15.75" x14ac:dyDescent="0.25">
      <c r="A48" s="30"/>
      <c r="B48" s="51" t="s">
        <v>65</v>
      </c>
      <c r="C48" s="52" t="s">
        <v>66</v>
      </c>
      <c r="D48" s="53">
        <v>17000000</v>
      </c>
      <c r="E48" s="53"/>
      <c r="F48" s="53"/>
      <c r="G48" s="53"/>
      <c r="H48" s="53">
        <f>SUM(E48:G48)</f>
        <v>0</v>
      </c>
      <c r="I48" s="53">
        <v>850000</v>
      </c>
      <c r="J48" s="53">
        <v>900000</v>
      </c>
      <c r="K48" s="53">
        <v>900000</v>
      </c>
      <c r="L48" s="53">
        <f>SUM(I48:K48)</f>
        <v>2650000</v>
      </c>
      <c r="M48" s="53">
        <f>H48+L48</f>
        <v>2650000</v>
      </c>
      <c r="N48" s="53">
        <f t="shared" si="6"/>
        <v>14350000</v>
      </c>
      <c r="O48" s="54">
        <f>J48+K48</f>
        <v>1800000</v>
      </c>
    </row>
    <row r="49" spans="1:16" s="35" customFormat="1" ht="15.75" hidden="1" x14ac:dyDescent="0.25">
      <c r="A49" s="30"/>
      <c r="B49" s="49" t="s">
        <v>67</v>
      </c>
      <c r="C49" s="37" t="s">
        <v>68</v>
      </c>
      <c r="D49" s="38">
        <f>D50</f>
        <v>0</v>
      </c>
      <c r="E49" s="38">
        <f t="shared" ref="E49:N50" si="21">E50</f>
        <v>0</v>
      </c>
      <c r="F49" s="38">
        <f t="shared" si="21"/>
        <v>0</v>
      </c>
      <c r="G49" s="38">
        <f t="shared" si="21"/>
        <v>0</v>
      </c>
      <c r="H49" s="38">
        <f t="shared" si="21"/>
        <v>0</v>
      </c>
      <c r="I49" s="38">
        <f t="shared" si="21"/>
        <v>0</v>
      </c>
      <c r="J49" s="38">
        <f t="shared" si="21"/>
        <v>0</v>
      </c>
      <c r="K49" s="38">
        <f t="shared" si="21"/>
        <v>0</v>
      </c>
      <c r="L49" s="38">
        <f t="shared" si="21"/>
        <v>0</v>
      </c>
      <c r="M49" s="38">
        <f t="shared" si="21"/>
        <v>0</v>
      </c>
      <c r="N49" s="38">
        <f t="shared" si="21"/>
        <v>0</v>
      </c>
      <c r="O49" s="34"/>
      <c r="P49" s="35">
        <f>P45/2</f>
        <v>9790000</v>
      </c>
    </row>
    <row r="50" spans="1:16" s="35" customFormat="1" ht="15.75" hidden="1" x14ac:dyDescent="0.25">
      <c r="A50" s="30"/>
      <c r="B50" s="49" t="s">
        <v>69</v>
      </c>
      <c r="C50" s="37" t="s">
        <v>70</v>
      </c>
      <c r="D50" s="38">
        <f>D51</f>
        <v>0</v>
      </c>
      <c r="E50" s="38">
        <f t="shared" si="21"/>
        <v>0</v>
      </c>
      <c r="F50" s="38">
        <f t="shared" si="21"/>
        <v>0</v>
      </c>
      <c r="G50" s="38">
        <f t="shared" si="21"/>
        <v>0</v>
      </c>
      <c r="H50" s="38">
        <f t="shared" si="21"/>
        <v>0</v>
      </c>
      <c r="I50" s="38">
        <f t="shared" si="21"/>
        <v>0</v>
      </c>
      <c r="J50" s="38">
        <f t="shared" si="21"/>
        <v>0</v>
      </c>
      <c r="K50" s="38">
        <f t="shared" si="21"/>
        <v>0</v>
      </c>
      <c r="L50" s="38">
        <f t="shared" si="21"/>
        <v>0</v>
      </c>
      <c r="M50" s="38">
        <f t="shared" si="21"/>
        <v>0</v>
      </c>
      <c r="N50" s="38">
        <f t="shared" si="21"/>
        <v>0</v>
      </c>
      <c r="O50" s="34"/>
    </row>
    <row r="51" spans="1:16" s="35" customFormat="1" ht="15.75" hidden="1" x14ac:dyDescent="0.25">
      <c r="A51" s="30"/>
      <c r="B51" s="51" t="s">
        <v>71</v>
      </c>
      <c r="C51" s="52" t="s">
        <v>72</v>
      </c>
      <c r="D51" s="53">
        <v>0</v>
      </c>
      <c r="E51" s="53"/>
      <c r="F51" s="53"/>
      <c r="G51" s="53"/>
      <c r="H51" s="53">
        <f>SUM(E51:G51)</f>
        <v>0</v>
      </c>
      <c r="I51" s="53"/>
      <c r="J51" s="53"/>
      <c r="K51" s="53"/>
      <c r="L51" s="53">
        <f>SUM(I51:K51)</f>
        <v>0</v>
      </c>
      <c r="M51" s="53">
        <f>H51+L51</f>
        <v>0</v>
      </c>
      <c r="N51" s="53">
        <f t="shared" si="6"/>
        <v>0</v>
      </c>
      <c r="O51" s="54">
        <v>14195000</v>
      </c>
      <c r="P51" s="55">
        <f>J51-13000</f>
        <v>-13000</v>
      </c>
    </row>
    <row r="52" spans="1:16" s="35" customFormat="1" ht="15.75" x14ac:dyDescent="0.25">
      <c r="A52" s="30"/>
      <c r="B52" s="49" t="s">
        <v>73</v>
      </c>
      <c r="C52" s="37" t="s">
        <v>74</v>
      </c>
      <c r="D52" s="38">
        <f>D53</f>
        <v>59999500</v>
      </c>
      <c r="E52" s="38">
        <f t="shared" ref="E52:M52" si="22">E53</f>
        <v>0</v>
      </c>
      <c r="F52" s="38">
        <f t="shared" si="22"/>
        <v>0</v>
      </c>
      <c r="G52" s="38">
        <f t="shared" si="22"/>
        <v>0</v>
      </c>
      <c r="H52" s="38">
        <f t="shared" si="22"/>
        <v>0</v>
      </c>
      <c r="I52" s="38">
        <f t="shared" si="22"/>
        <v>18945000</v>
      </c>
      <c r="J52" s="38">
        <f t="shared" si="22"/>
        <v>1500000</v>
      </c>
      <c r="K52" s="38">
        <f t="shared" si="22"/>
        <v>2150000</v>
      </c>
      <c r="L52" s="38">
        <f t="shared" si="22"/>
        <v>22595000</v>
      </c>
      <c r="M52" s="38">
        <f t="shared" si="22"/>
        <v>22595000</v>
      </c>
      <c r="N52" s="38">
        <f t="shared" si="6"/>
        <v>37404500</v>
      </c>
      <c r="O52" s="34"/>
    </row>
    <row r="53" spans="1:16" s="35" customFormat="1" ht="15.75" x14ac:dyDescent="0.25">
      <c r="A53" s="30"/>
      <c r="B53" s="49" t="s">
        <v>75</v>
      </c>
      <c r="C53" s="37" t="s">
        <v>76</v>
      </c>
      <c r="D53" s="38">
        <f>SUM(D54:D55)</f>
        <v>59999500</v>
      </c>
      <c r="E53" s="38">
        <f t="shared" ref="E53:M53" si="23">SUM(E54:E55)</f>
        <v>0</v>
      </c>
      <c r="F53" s="38">
        <f t="shared" si="23"/>
        <v>0</v>
      </c>
      <c r="G53" s="38">
        <f t="shared" si="23"/>
        <v>0</v>
      </c>
      <c r="H53" s="38">
        <f t="shared" si="23"/>
        <v>0</v>
      </c>
      <c r="I53" s="38">
        <f t="shared" si="23"/>
        <v>18945000</v>
      </c>
      <c r="J53" s="38">
        <f t="shared" si="23"/>
        <v>1500000</v>
      </c>
      <c r="K53" s="38">
        <f t="shared" si="23"/>
        <v>2150000</v>
      </c>
      <c r="L53" s="38">
        <f t="shared" si="23"/>
        <v>22595000</v>
      </c>
      <c r="M53" s="38">
        <f t="shared" si="23"/>
        <v>22595000</v>
      </c>
      <c r="N53" s="38">
        <f t="shared" si="6"/>
        <v>37404500</v>
      </c>
      <c r="O53" s="34"/>
    </row>
    <row r="54" spans="1:16" s="35" customFormat="1" ht="15.75" x14ac:dyDescent="0.25">
      <c r="A54" s="30"/>
      <c r="B54" s="51" t="s">
        <v>77</v>
      </c>
      <c r="C54" s="52" t="s">
        <v>78</v>
      </c>
      <c r="D54" s="53">
        <v>59999500</v>
      </c>
      <c r="E54" s="53"/>
      <c r="F54" s="53"/>
      <c r="G54" s="53"/>
      <c r="H54" s="53">
        <f>SUM(E54:G54)</f>
        <v>0</v>
      </c>
      <c r="I54" s="53">
        <v>18945000</v>
      </c>
      <c r="J54" s="53">
        <v>1500000</v>
      </c>
      <c r="K54" s="53">
        <v>2150000</v>
      </c>
      <c r="L54" s="53">
        <f>SUM(I54:K54)</f>
        <v>22595000</v>
      </c>
      <c r="M54" s="53">
        <f>H54+L54</f>
        <v>22595000</v>
      </c>
      <c r="N54" s="53">
        <f t="shared" si="6"/>
        <v>37404500</v>
      </c>
      <c r="O54" s="54">
        <f>J54+K54</f>
        <v>3650000</v>
      </c>
      <c r="P54" s="55">
        <f>O54-J54</f>
        <v>2150000</v>
      </c>
    </row>
    <row r="55" spans="1:16" s="35" customFormat="1" ht="15.75" hidden="1" customHeight="1" x14ac:dyDescent="0.25">
      <c r="A55" s="56"/>
      <c r="B55" s="51" t="s">
        <v>79</v>
      </c>
      <c r="C55" s="52" t="s">
        <v>80</v>
      </c>
      <c r="D55" s="53"/>
      <c r="E55" s="53"/>
      <c r="F55" s="53"/>
      <c r="G55" s="53"/>
      <c r="H55" s="53">
        <f>SUM(E55:G55)</f>
        <v>0</v>
      </c>
      <c r="I55" s="53"/>
      <c r="J55" s="53"/>
      <c r="K55" s="53"/>
      <c r="L55" s="53">
        <f>SUM(I55:K55)</f>
        <v>0</v>
      </c>
      <c r="M55" s="53">
        <f>H55+L55</f>
        <v>0</v>
      </c>
      <c r="N55" s="53">
        <f t="shared" si="6"/>
        <v>0</v>
      </c>
      <c r="O55" s="34"/>
    </row>
    <row r="56" spans="1:16" s="29" customFormat="1" ht="31.5" x14ac:dyDescent="0.25">
      <c r="A56" s="39" t="s">
        <v>81</v>
      </c>
      <c r="B56" s="40" t="s">
        <v>82</v>
      </c>
      <c r="C56" s="41" t="s">
        <v>83</v>
      </c>
      <c r="D56" s="42">
        <f t="shared" ref="D56:N56" si="24">D57</f>
        <v>99900000</v>
      </c>
      <c r="E56" s="42">
        <f t="shared" si="24"/>
        <v>0</v>
      </c>
      <c r="F56" s="42">
        <f t="shared" si="24"/>
        <v>0</v>
      </c>
      <c r="G56" s="42">
        <f t="shared" si="24"/>
        <v>0</v>
      </c>
      <c r="H56" s="42">
        <f t="shared" si="24"/>
        <v>0</v>
      </c>
      <c r="I56" s="42">
        <f t="shared" si="24"/>
        <v>0</v>
      </c>
      <c r="J56" s="42">
        <f t="shared" si="24"/>
        <v>0</v>
      </c>
      <c r="K56" s="42">
        <f t="shared" si="24"/>
        <v>0</v>
      </c>
      <c r="L56" s="42">
        <f t="shared" si="24"/>
        <v>0</v>
      </c>
      <c r="M56" s="42">
        <f t="shared" si="24"/>
        <v>0</v>
      </c>
      <c r="N56" s="42">
        <f t="shared" si="24"/>
        <v>99900000</v>
      </c>
      <c r="O56" s="43">
        <f>D64+D93+D109</f>
        <v>99900000</v>
      </c>
    </row>
    <row r="57" spans="1:16" s="35" customFormat="1" ht="15.75" x14ac:dyDescent="0.25">
      <c r="A57" s="30"/>
      <c r="B57" s="31" t="s">
        <v>19</v>
      </c>
      <c r="C57" s="32" t="s">
        <v>20</v>
      </c>
      <c r="D57" s="33">
        <f>D58+D60</f>
        <v>99900000</v>
      </c>
      <c r="E57" s="33">
        <f t="shared" ref="E57:N57" si="25">E58+E60</f>
        <v>0</v>
      </c>
      <c r="F57" s="33">
        <f t="shared" si="25"/>
        <v>0</v>
      </c>
      <c r="G57" s="33">
        <f t="shared" si="25"/>
        <v>0</v>
      </c>
      <c r="H57" s="33">
        <f t="shared" si="25"/>
        <v>0</v>
      </c>
      <c r="I57" s="33">
        <f t="shared" si="25"/>
        <v>0</v>
      </c>
      <c r="J57" s="33">
        <f t="shared" si="25"/>
        <v>0</v>
      </c>
      <c r="K57" s="33">
        <f t="shared" si="25"/>
        <v>0</v>
      </c>
      <c r="L57" s="33">
        <f t="shared" si="25"/>
        <v>0</v>
      </c>
      <c r="M57" s="33">
        <f t="shared" si="25"/>
        <v>0</v>
      </c>
      <c r="N57" s="33">
        <f t="shared" si="25"/>
        <v>99900000</v>
      </c>
      <c r="O57" s="54">
        <f>D56-O56</f>
        <v>0</v>
      </c>
    </row>
    <row r="58" spans="1:16" s="35" customFormat="1" ht="15.75" hidden="1" x14ac:dyDescent="0.25">
      <c r="A58" s="30"/>
      <c r="B58" s="36" t="s">
        <v>21</v>
      </c>
      <c r="C58" s="37" t="s">
        <v>22</v>
      </c>
      <c r="D58" s="38">
        <f>D59</f>
        <v>0</v>
      </c>
      <c r="E58" s="38">
        <f t="shared" ref="E58:N58" si="26">E59</f>
        <v>0</v>
      </c>
      <c r="F58" s="38">
        <f t="shared" si="26"/>
        <v>0</v>
      </c>
      <c r="G58" s="38">
        <f t="shared" si="26"/>
        <v>0</v>
      </c>
      <c r="H58" s="38">
        <f t="shared" si="26"/>
        <v>0</v>
      </c>
      <c r="I58" s="38">
        <f t="shared" si="26"/>
        <v>0</v>
      </c>
      <c r="J58" s="38">
        <f t="shared" si="26"/>
        <v>0</v>
      </c>
      <c r="K58" s="38">
        <f t="shared" si="26"/>
        <v>0</v>
      </c>
      <c r="L58" s="38">
        <f t="shared" si="26"/>
        <v>0</v>
      </c>
      <c r="M58" s="38">
        <f t="shared" si="26"/>
        <v>0</v>
      </c>
      <c r="N58" s="38">
        <f t="shared" si="26"/>
        <v>0</v>
      </c>
      <c r="O58" s="34"/>
    </row>
    <row r="59" spans="1:16" s="35" customFormat="1" ht="15.75" hidden="1" x14ac:dyDescent="0.25">
      <c r="A59" s="30"/>
      <c r="B59" s="36" t="s">
        <v>28</v>
      </c>
      <c r="C59" s="37" t="s">
        <v>29</v>
      </c>
      <c r="D59" s="38">
        <f>D66+D95</f>
        <v>0</v>
      </c>
      <c r="E59" s="38">
        <f t="shared" ref="E59:N59" si="27">E66+E95</f>
        <v>0</v>
      </c>
      <c r="F59" s="38">
        <f t="shared" si="27"/>
        <v>0</v>
      </c>
      <c r="G59" s="38">
        <f t="shared" si="27"/>
        <v>0</v>
      </c>
      <c r="H59" s="38">
        <f t="shared" si="27"/>
        <v>0</v>
      </c>
      <c r="I59" s="38">
        <f t="shared" si="27"/>
        <v>0</v>
      </c>
      <c r="J59" s="38">
        <f t="shared" si="27"/>
        <v>0</v>
      </c>
      <c r="K59" s="38">
        <f t="shared" si="27"/>
        <v>0</v>
      </c>
      <c r="L59" s="38">
        <f t="shared" si="27"/>
        <v>0</v>
      </c>
      <c r="M59" s="38">
        <f t="shared" si="27"/>
        <v>0</v>
      </c>
      <c r="N59" s="38">
        <f t="shared" si="27"/>
        <v>0</v>
      </c>
      <c r="O59" s="34"/>
    </row>
    <row r="60" spans="1:16" s="35" customFormat="1" ht="15.75" x14ac:dyDescent="0.25">
      <c r="A60" s="30"/>
      <c r="B60" s="36" t="s">
        <v>23</v>
      </c>
      <c r="C60" s="37" t="s">
        <v>24</v>
      </c>
      <c r="D60" s="38">
        <f>D61+D62+D63</f>
        <v>99900000</v>
      </c>
      <c r="E60" s="38">
        <f t="shared" ref="E60:N60" si="28">E61+E62+E63</f>
        <v>0</v>
      </c>
      <c r="F60" s="38">
        <f t="shared" si="28"/>
        <v>0</v>
      </c>
      <c r="G60" s="38">
        <f t="shared" si="28"/>
        <v>0</v>
      </c>
      <c r="H60" s="38">
        <f t="shared" si="28"/>
        <v>0</v>
      </c>
      <c r="I60" s="38">
        <f t="shared" si="28"/>
        <v>0</v>
      </c>
      <c r="J60" s="38">
        <f t="shared" si="28"/>
        <v>0</v>
      </c>
      <c r="K60" s="38">
        <f t="shared" si="28"/>
        <v>0</v>
      </c>
      <c r="L60" s="38">
        <f t="shared" si="28"/>
        <v>0</v>
      </c>
      <c r="M60" s="38">
        <f t="shared" si="28"/>
        <v>0</v>
      </c>
      <c r="N60" s="38">
        <f t="shared" si="28"/>
        <v>99900000</v>
      </c>
      <c r="O60" s="34"/>
    </row>
    <row r="61" spans="1:16" s="35" customFormat="1" ht="15.75" hidden="1" x14ac:dyDescent="0.25">
      <c r="A61" s="30"/>
      <c r="B61" s="36" t="s">
        <v>84</v>
      </c>
      <c r="C61" s="37" t="s">
        <v>85</v>
      </c>
      <c r="D61" s="38">
        <f>D71</f>
        <v>0</v>
      </c>
      <c r="E61" s="38">
        <f t="shared" ref="E61:N61" si="29">E71</f>
        <v>0</v>
      </c>
      <c r="F61" s="38">
        <f t="shared" si="29"/>
        <v>0</v>
      </c>
      <c r="G61" s="38">
        <f t="shared" si="29"/>
        <v>0</v>
      </c>
      <c r="H61" s="38">
        <f t="shared" si="29"/>
        <v>0</v>
      </c>
      <c r="I61" s="38">
        <f t="shared" si="29"/>
        <v>0</v>
      </c>
      <c r="J61" s="38">
        <f t="shared" si="29"/>
        <v>0</v>
      </c>
      <c r="K61" s="38">
        <f t="shared" si="29"/>
        <v>0</v>
      </c>
      <c r="L61" s="38">
        <f t="shared" si="29"/>
        <v>0</v>
      </c>
      <c r="M61" s="38">
        <f t="shared" si="29"/>
        <v>0</v>
      </c>
      <c r="N61" s="38">
        <f t="shared" si="29"/>
        <v>0</v>
      </c>
      <c r="O61" s="34"/>
    </row>
    <row r="62" spans="1:16" s="35" customFormat="1" ht="15.75" hidden="1" x14ac:dyDescent="0.25">
      <c r="A62" s="30"/>
      <c r="B62" s="36" t="s">
        <v>86</v>
      </c>
      <c r="C62" s="37" t="s">
        <v>87</v>
      </c>
      <c r="D62" s="38">
        <f>D101+D116</f>
        <v>0</v>
      </c>
      <c r="E62" s="38">
        <f t="shared" ref="E62:N62" si="30">E101+E116</f>
        <v>0</v>
      </c>
      <c r="F62" s="38">
        <f t="shared" si="30"/>
        <v>0</v>
      </c>
      <c r="G62" s="38">
        <f t="shared" si="30"/>
        <v>0</v>
      </c>
      <c r="H62" s="38">
        <f t="shared" si="30"/>
        <v>0</v>
      </c>
      <c r="I62" s="38">
        <f t="shared" si="30"/>
        <v>0</v>
      </c>
      <c r="J62" s="38">
        <f t="shared" si="30"/>
        <v>0</v>
      </c>
      <c r="K62" s="38">
        <f t="shared" si="30"/>
        <v>0</v>
      </c>
      <c r="L62" s="38">
        <f t="shared" si="30"/>
        <v>0</v>
      </c>
      <c r="M62" s="38">
        <f t="shared" si="30"/>
        <v>0</v>
      </c>
      <c r="N62" s="38">
        <f t="shared" si="30"/>
        <v>0</v>
      </c>
      <c r="O62" s="34"/>
    </row>
    <row r="63" spans="1:16" s="35" customFormat="1" ht="15.75" x14ac:dyDescent="0.25">
      <c r="A63" s="30"/>
      <c r="B63" s="36" t="s">
        <v>84</v>
      </c>
      <c r="C63" s="37" t="s">
        <v>88</v>
      </c>
      <c r="D63" s="38">
        <f>D122</f>
        <v>99900000</v>
      </c>
      <c r="E63" s="38">
        <f t="shared" ref="E63:N63" si="31">E122</f>
        <v>0</v>
      </c>
      <c r="F63" s="38">
        <f t="shared" si="31"/>
        <v>0</v>
      </c>
      <c r="G63" s="38">
        <f t="shared" si="31"/>
        <v>0</v>
      </c>
      <c r="H63" s="38">
        <f t="shared" si="31"/>
        <v>0</v>
      </c>
      <c r="I63" s="38">
        <f t="shared" si="31"/>
        <v>0</v>
      </c>
      <c r="J63" s="38">
        <f t="shared" si="31"/>
        <v>0</v>
      </c>
      <c r="K63" s="38">
        <f t="shared" si="31"/>
        <v>0</v>
      </c>
      <c r="L63" s="38">
        <f t="shared" si="31"/>
        <v>0</v>
      </c>
      <c r="M63" s="38">
        <f t="shared" si="31"/>
        <v>0</v>
      </c>
      <c r="N63" s="38">
        <f t="shared" si="31"/>
        <v>99900000</v>
      </c>
      <c r="O63" s="34"/>
    </row>
    <row r="64" spans="1:16" s="35" customFormat="1" ht="15.75" hidden="1" x14ac:dyDescent="0.25">
      <c r="A64" s="44" t="s">
        <v>89</v>
      </c>
      <c r="B64" s="45" t="s">
        <v>90</v>
      </c>
      <c r="C64" s="46" t="s">
        <v>91</v>
      </c>
      <c r="D64" s="47">
        <f>D65+D70</f>
        <v>0</v>
      </c>
      <c r="E64" s="47">
        <f t="shared" ref="E64:N64" si="32">E65+E70</f>
        <v>0</v>
      </c>
      <c r="F64" s="47">
        <f t="shared" si="32"/>
        <v>0</v>
      </c>
      <c r="G64" s="47">
        <f t="shared" si="32"/>
        <v>0</v>
      </c>
      <c r="H64" s="47">
        <f t="shared" si="32"/>
        <v>0</v>
      </c>
      <c r="I64" s="47">
        <f t="shared" si="32"/>
        <v>0</v>
      </c>
      <c r="J64" s="47">
        <f t="shared" si="32"/>
        <v>0</v>
      </c>
      <c r="K64" s="47">
        <f t="shared" si="32"/>
        <v>0</v>
      </c>
      <c r="L64" s="47">
        <f t="shared" si="32"/>
        <v>0</v>
      </c>
      <c r="M64" s="47">
        <f t="shared" si="32"/>
        <v>0</v>
      </c>
      <c r="N64" s="47">
        <f t="shared" si="32"/>
        <v>0</v>
      </c>
      <c r="O64" s="54">
        <f>J64+K64</f>
        <v>0</v>
      </c>
    </row>
    <row r="65" spans="1:15" s="35" customFormat="1" ht="15.75" hidden="1" x14ac:dyDescent="0.25">
      <c r="A65" s="30"/>
      <c r="B65" s="37" t="s">
        <v>21</v>
      </c>
      <c r="C65" s="37" t="s">
        <v>22</v>
      </c>
      <c r="D65" s="38">
        <f>+D66</f>
        <v>0</v>
      </c>
      <c r="E65" s="38">
        <f t="shared" ref="E65:N65" si="33">+E66</f>
        <v>0</v>
      </c>
      <c r="F65" s="38">
        <f t="shared" si="33"/>
        <v>0</v>
      </c>
      <c r="G65" s="38">
        <f t="shared" si="33"/>
        <v>0</v>
      </c>
      <c r="H65" s="38">
        <f t="shared" si="33"/>
        <v>0</v>
      </c>
      <c r="I65" s="38">
        <f t="shared" si="33"/>
        <v>0</v>
      </c>
      <c r="J65" s="38">
        <f t="shared" si="33"/>
        <v>0</v>
      </c>
      <c r="K65" s="38">
        <f t="shared" si="33"/>
        <v>0</v>
      </c>
      <c r="L65" s="38">
        <f t="shared" si="33"/>
        <v>0</v>
      </c>
      <c r="M65" s="38">
        <f t="shared" si="33"/>
        <v>0</v>
      </c>
      <c r="N65" s="38">
        <f t="shared" si="33"/>
        <v>0</v>
      </c>
      <c r="O65" s="34"/>
    </row>
    <row r="66" spans="1:15" s="35" customFormat="1" ht="15.75" hidden="1" x14ac:dyDescent="0.25">
      <c r="A66" s="30"/>
      <c r="B66" s="37" t="s">
        <v>28</v>
      </c>
      <c r="C66" s="37" t="s">
        <v>29</v>
      </c>
      <c r="D66" s="38">
        <f>D67</f>
        <v>0</v>
      </c>
      <c r="E66" s="38">
        <f t="shared" ref="E66:N68" si="34">E67</f>
        <v>0</v>
      </c>
      <c r="F66" s="38">
        <f t="shared" si="34"/>
        <v>0</v>
      </c>
      <c r="G66" s="38">
        <f t="shared" si="34"/>
        <v>0</v>
      </c>
      <c r="H66" s="38">
        <f t="shared" si="34"/>
        <v>0</v>
      </c>
      <c r="I66" s="38">
        <f t="shared" si="34"/>
        <v>0</v>
      </c>
      <c r="J66" s="38">
        <f t="shared" si="34"/>
        <v>0</v>
      </c>
      <c r="K66" s="38">
        <f t="shared" si="34"/>
        <v>0</v>
      </c>
      <c r="L66" s="38">
        <f t="shared" si="34"/>
        <v>0</v>
      </c>
      <c r="M66" s="38">
        <f t="shared" si="34"/>
        <v>0</v>
      </c>
      <c r="N66" s="38">
        <f t="shared" si="34"/>
        <v>0</v>
      </c>
      <c r="O66" s="34"/>
    </row>
    <row r="67" spans="1:15" s="35" customFormat="1" ht="15.75" hidden="1" x14ac:dyDescent="0.25">
      <c r="A67" s="30"/>
      <c r="B67" s="37" t="s">
        <v>36</v>
      </c>
      <c r="C67" s="37" t="s">
        <v>92</v>
      </c>
      <c r="D67" s="38">
        <f>D68</f>
        <v>0</v>
      </c>
      <c r="E67" s="38">
        <f t="shared" si="34"/>
        <v>0</v>
      </c>
      <c r="F67" s="38">
        <f t="shared" si="34"/>
        <v>0</v>
      </c>
      <c r="G67" s="38">
        <f t="shared" si="34"/>
        <v>0</v>
      </c>
      <c r="H67" s="38">
        <f t="shared" si="34"/>
        <v>0</v>
      </c>
      <c r="I67" s="38">
        <f t="shared" si="34"/>
        <v>0</v>
      </c>
      <c r="J67" s="38">
        <f t="shared" si="34"/>
        <v>0</v>
      </c>
      <c r="K67" s="38">
        <f t="shared" si="34"/>
        <v>0</v>
      </c>
      <c r="L67" s="38">
        <f t="shared" si="34"/>
        <v>0</v>
      </c>
      <c r="M67" s="38">
        <f t="shared" si="34"/>
        <v>0</v>
      </c>
      <c r="N67" s="38">
        <f t="shared" si="34"/>
        <v>0</v>
      </c>
      <c r="O67" s="34"/>
    </row>
    <row r="68" spans="1:15" s="35" customFormat="1" ht="15.75" hidden="1" x14ac:dyDescent="0.25">
      <c r="A68" s="30"/>
      <c r="B68" s="37" t="s">
        <v>38</v>
      </c>
      <c r="C68" s="37" t="s">
        <v>93</v>
      </c>
      <c r="D68" s="38">
        <f>D69</f>
        <v>0</v>
      </c>
      <c r="E68" s="38">
        <f t="shared" si="34"/>
        <v>0</v>
      </c>
      <c r="F68" s="38">
        <f t="shared" si="34"/>
        <v>0</v>
      </c>
      <c r="G68" s="38">
        <f t="shared" si="34"/>
        <v>0</v>
      </c>
      <c r="H68" s="38">
        <f t="shared" si="34"/>
        <v>0</v>
      </c>
      <c r="I68" s="38">
        <f t="shared" si="34"/>
        <v>0</v>
      </c>
      <c r="J68" s="38">
        <f t="shared" si="34"/>
        <v>0</v>
      </c>
      <c r="K68" s="38">
        <f t="shared" si="34"/>
        <v>0</v>
      </c>
      <c r="L68" s="38">
        <f t="shared" si="34"/>
        <v>0</v>
      </c>
      <c r="M68" s="38">
        <f t="shared" si="34"/>
        <v>0</v>
      </c>
      <c r="N68" s="38">
        <f t="shared" si="34"/>
        <v>0</v>
      </c>
      <c r="O68" s="34"/>
    </row>
    <row r="69" spans="1:15" s="35" customFormat="1" ht="15.75" hidden="1" x14ac:dyDescent="0.25">
      <c r="A69" s="30"/>
      <c r="B69" s="52" t="s">
        <v>94</v>
      </c>
      <c r="C69" s="52" t="s">
        <v>95</v>
      </c>
      <c r="D69" s="53">
        <v>0</v>
      </c>
      <c r="E69" s="53"/>
      <c r="F69" s="53"/>
      <c r="G69" s="53"/>
      <c r="H69" s="53">
        <f>SUM(E69:G69)</f>
        <v>0</v>
      </c>
      <c r="I69" s="53"/>
      <c r="J69" s="53"/>
      <c r="K69" s="53"/>
      <c r="L69" s="53">
        <f>SUM(I69:K69)</f>
        <v>0</v>
      </c>
      <c r="M69" s="53">
        <f>H69+L69</f>
        <v>0</v>
      </c>
      <c r="N69" s="53">
        <f>D69-M69</f>
        <v>0</v>
      </c>
      <c r="O69" s="34"/>
    </row>
    <row r="70" spans="1:15" s="35" customFormat="1" ht="15.75" hidden="1" x14ac:dyDescent="0.25">
      <c r="A70" s="57"/>
      <c r="B70" s="36" t="s">
        <v>23</v>
      </c>
      <c r="C70" s="37" t="s">
        <v>24</v>
      </c>
      <c r="D70" s="38">
        <f>D71</f>
        <v>0</v>
      </c>
      <c r="E70" s="38">
        <f t="shared" ref="E70:N70" si="35">E71</f>
        <v>0</v>
      </c>
      <c r="F70" s="38">
        <f t="shared" si="35"/>
        <v>0</v>
      </c>
      <c r="G70" s="38">
        <f t="shared" si="35"/>
        <v>0</v>
      </c>
      <c r="H70" s="38">
        <f t="shared" si="35"/>
        <v>0</v>
      </c>
      <c r="I70" s="38">
        <f t="shared" si="35"/>
        <v>0</v>
      </c>
      <c r="J70" s="38">
        <f t="shared" si="35"/>
        <v>0</v>
      </c>
      <c r="K70" s="38">
        <f t="shared" si="35"/>
        <v>0</v>
      </c>
      <c r="L70" s="38">
        <f t="shared" si="35"/>
        <v>0</v>
      </c>
      <c r="M70" s="38">
        <f t="shared" si="35"/>
        <v>0</v>
      </c>
      <c r="N70" s="38">
        <f t="shared" si="35"/>
        <v>0</v>
      </c>
      <c r="O70" s="34"/>
    </row>
    <row r="71" spans="1:15" s="35" customFormat="1" ht="15.75" hidden="1" x14ac:dyDescent="0.25">
      <c r="A71" s="57"/>
      <c r="B71" s="36" t="s">
        <v>84</v>
      </c>
      <c r="C71" s="37" t="s">
        <v>85</v>
      </c>
      <c r="D71" s="38">
        <f>D72+D75+D85+D90+D81</f>
        <v>0</v>
      </c>
      <c r="E71" s="38">
        <f t="shared" ref="E71:N71" si="36">E72+E75+E85+E90+E81</f>
        <v>0</v>
      </c>
      <c r="F71" s="38">
        <f t="shared" si="36"/>
        <v>0</v>
      </c>
      <c r="G71" s="38">
        <f t="shared" si="36"/>
        <v>0</v>
      </c>
      <c r="H71" s="38">
        <f t="shared" si="36"/>
        <v>0</v>
      </c>
      <c r="I71" s="38">
        <f t="shared" si="36"/>
        <v>0</v>
      </c>
      <c r="J71" s="38">
        <f t="shared" si="36"/>
        <v>0</v>
      </c>
      <c r="K71" s="38">
        <f t="shared" si="36"/>
        <v>0</v>
      </c>
      <c r="L71" s="38">
        <f t="shared" si="36"/>
        <v>0</v>
      </c>
      <c r="M71" s="38">
        <f t="shared" si="36"/>
        <v>0</v>
      </c>
      <c r="N71" s="38">
        <f t="shared" si="36"/>
        <v>0</v>
      </c>
      <c r="O71" s="34"/>
    </row>
    <row r="72" spans="1:15" s="35" customFormat="1" ht="15.75" hidden="1" x14ac:dyDescent="0.25">
      <c r="A72" s="57"/>
      <c r="B72" s="37" t="s">
        <v>96</v>
      </c>
      <c r="C72" s="37" t="s">
        <v>97</v>
      </c>
      <c r="D72" s="38">
        <f>D73</f>
        <v>0</v>
      </c>
      <c r="E72" s="38">
        <f t="shared" ref="E72:N72" si="37">E73</f>
        <v>0</v>
      </c>
      <c r="F72" s="38">
        <f t="shared" si="37"/>
        <v>0</v>
      </c>
      <c r="G72" s="38">
        <f t="shared" si="37"/>
        <v>0</v>
      </c>
      <c r="H72" s="38">
        <f t="shared" si="37"/>
        <v>0</v>
      </c>
      <c r="I72" s="38">
        <f t="shared" si="37"/>
        <v>0</v>
      </c>
      <c r="J72" s="38">
        <f t="shared" si="37"/>
        <v>0</v>
      </c>
      <c r="K72" s="38">
        <f t="shared" si="37"/>
        <v>0</v>
      </c>
      <c r="L72" s="38">
        <f t="shared" si="37"/>
        <v>0</v>
      </c>
      <c r="M72" s="38">
        <f t="shared" si="37"/>
        <v>0</v>
      </c>
      <c r="N72" s="38">
        <f t="shared" si="37"/>
        <v>0</v>
      </c>
      <c r="O72" s="34"/>
    </row>
    <row r="73" spans="1:15" s="35" customFormat="1" ht="15.75" hidden="1" x14ac:dyDescent="0.25">
      <c r="A73" s="57"/>
      <c r="B73" s="37" t="s">
        <v>98</v>
      </c>
      <c r="C73" s="37" t="s">
        <v>99</v>
      </c>
      <c r="D73" s="38">
        <f t="shared" ref="D73:N73" si="38">SUM(D74:D74)</f>
        <v>0</v>
      </c>
      <c r="E73" s="38">
        <f t="shared" si="38"/>
        <v>0</v>
      </c>
      <c r="F73" s="38">
        <f t="shared" si="38"/>
        <v>0</v>
      </c>
      <c r="G73" s="38">
        <f t="shared" si="38"/>
        <v>0</v>
      </c>
      <c r="H73" s="38">
        <f t="shared" si="38"/>
        <v>0</v>
      </c>
      <c r="I73" s="38">
        <f t="shared" si="38"/>
        <v>0</v>
      </c>
      <c r="J73" s="38">
        <f t="shared" si="38"/>
        <v>0</v>
      </c>
      <c r="K73" s="38">
        <f t="shared" si="38"/>
        <v>0</v>
      </c>
      <c r="L73" s="38">
        <f t="shared" si="38"/>
        <v>0</v>
      </c>
      <c r="M73" s="38">
        <f t="shared" si="38"/>
        <v>0</v>
      </c>
      <c r="N73" s="38">
        <f t="shared" si="38"/>
        <v>0</v>
      </c>
      <c r="O73" s="34"/>
    </row>
    <row r="74" spans="1:15" s="35" customFormat="1" ht="15.75" hidden="1" x14ac:dyDescent="0.25">
      <c r="A74" s="57"/>
      <c r="B74" s="52" t="s">
        <v>100</v>
      </c>
      <c r="C74" s="52" t="s">
        <v>101</v>
      </c>
      <c r="D74" s="53">
        <v>0</v>
      </c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34"/>
    </row>
    <row r="75" spans="1:15" s="35" customFormat="1" ht="15.75" hidden="1" x14ac:dyDescent="0.25">
      <c r="A75" s="57"/>
      <c r="B75" s="37" t="s">
        <v>102</v>
      </c>
      <c r="C75" s="37" t="s">
        <v>88</v>
      </c>
      <c r="D75" s="38">
        <f>D76+D78</f>
        <v>0</v>
      </c>
      <c r="E75" s="38">
        <f t="shared" ref="E75:N75" si="39">E76+E78</f>
        <v>0</v>
      </c>
      <c r="F75" s="38">
        <f t="shared" si="39"/>
        <v>0</v>
      </c>
      <c r="G75" s="38">
        <f t="shared" si="39"/>
        <v>0</v>
      </c>
      <c r="H75" s="38">
        <f t="shared" si="39"/>
        <v>0</v>
      </c>
      <c r="I75" s="38">
        <f t="shared" si="39"/>
        <v>0</v>
      </c>
      <c r="J75" s="38">
        <f t="shared" si="39"/>
        <v>0</v>
      </c>
      <c r="K75" s="38">
        <f t="shared" si="39"/>
        <v>0</v>
      </c>
      <c r="L75" s="38">
        <f t="shared" si="39"/>
        <v>0</v>
      </c>
      <c r="M75" s="38">
        <f t="shared" si="39"/>
        <v>0</v>
      </c>
      <c r="N75" s="38">
        <f t="shared" si="39"/>
        <v>0</v>
      </c>
      <c r="O75" s="34"/>
    </row>
    <row r="76" spans="1:15" s="35" customFormat="1" ht="15.75" hidden="1" x14ac:dyDescent="0.25">
      <c r="A76" s="57"/>
      <c r="B76" s="37" t="s">
        <v>103</v>
      </c>
      <c r="C76" s="37" t="s">
        <v>104</v>
      </c>
      <c r="D76" s="38">
        <f t="shared" ref="D76:N76" si="40">SUM(D77:D77)</f>
        <v>0</v>
      </c>
      <c r="E76" s="38">
        <f t="shared" si="40"/>
        <v>0</v>
      </c>
      <c r="F76" s="38">
        <f t="shared" si="40"/>
        <v>0</v>
      </c>
      <c r="G76" s="38">
        <f t="shared" si="40"/>
        <v>0</v>
      </c>
      <c r="H76" s="38">
        <f t="shared" si="40"/>
        <v>0</v>
      </c>
      <c r="I76" s="38">
        <f t="shared" si="40"/>
        <v>0</v>
      </c>
      <c r="J76" s="38">
        <f t="shared" si="40"/>
        <v>0</v>
      </c>
      <c r="K76" s="38">
        <f t="shared" si="40"/>
        <v>0</v>
      </c>
      <c r="L76" s="38">
        <f t="shared" si="40"/>
        <v>0</v>
      </c>
      <c r="M76" s="38">
        <f t="shared" si="40"/>
        <v>0</v>
      </c>
      <c r="N76" s="38">
        <f t="shared" si="40"/>
        <v>0</v>
      </c>
      <c r="O76" s="34"/>
    </row>
    <row r="77" spans="1:15" s="35" customFormat="1" ht="15.75" hidden="1" x14ac:dyDescent="0.25">
      <c r="A77" s="57"/>
      <c r="B77" s="52" t="s">
        <v>105</v>
      </c>
      <c r="C77" s="52" t="s">
        <v>106</v>
      </c>
      <c r="D77" s="53">
        <v>0</v>
      </c>
      <c r="E77" s="53"/>
      <c r="F77" s="53"/>
      <c r="G77" s="53"/>
      <c r="H77" s="53">
        <f>SUM(E77:G77)</f>
        <v>0</v>
      </c>
      <c r="I77" s="53"/>
      <c r="J77" s="53"/>
      <c r="K77" s="53"/>
      <c r="L77" s="53">
        <f>SUM(I77:K77)</f>
        <v>0</v>
      </c>
      <c r="M77" s="53">
        <f>H77+L77</f>
        <v>0</v>
      </c>
      <c r="N77" s="53">
        <f t="shared" si="6"/>
        <v>0</v>
      </c>
      <c r="O77" s="34"/>
    </row>
    <row r="78" spans="1:15" s="35" customFormat="1" ht="15.75" hidden="1" x14ac:dyDescent="0.25">
      <c r="A78" s="57"/>
      <c r="B78" s="37" t="s">
        <v>107</v>
      </c>
      <c r="C78" s="37" t="s">
        <v>108</v>
      </c>
      <c r="D78" s="38">
        <f>D79+D80</f>
        <v>0</v>
      </c>
      <c r="E78" s="38">
        <f t="shared" ref="E78:N78" si="41">E79+E80</f>
        <v>0</v>
      </c>
      <c r="F78" s="38">
        <f t="shared" si="41"/>
        <v>0</v>
      </c>
      <c r="G78" s="38">
        <f t="shared" si="41"/>
        <v>0</v>
      </c>
      <c r="H78" s="38">
        <f t="shared" si="41"/>
        <v>0</v>
      </c>
      <c r="I78" s="38">
        <f t="shared" si="41"/>
        <v>0</v>
      </c>
      <c r="J78" s="38">
        <f t="shared" si="41"/>
        <v>0</v>
      </c>
      <c r="K78" s="38">
        <f t="shared" si="41"/>
        <v>0</v>
      </c>
      <c r="L78" s="38">
        <f t="shared" si="41"/>
        <v>0</v>
      </c>
      <c r="M78" s="38">
        <f t="shared" si="41"/>
        <v>0</v>
      </c>
      <c r="N78" s="38">
        <f t="shared" si="41"/>
        <v>0</v>
      </c>
      <c r="O78" s="34"/>
    </row>
    <row r="79" spans="1:15" s="35" customFormat="1" ht="15.75" hidden="1" x14ac:dyDescent="0.25">
      <c r="A79" s="57"/>
      <c r="B79" s="52" t="s">
        <v>109</v>
      </c>
      <c r="C79" s="52" t="s">
        <v>110</v>
      </c>
      <c r="D79" s="53">
        <v>0</v>
      </c>
      <c r="E79" s="53"/>
      <c r="F79" s="53"/>
      <c r="G79" s="53"/>
      <c r="H79" s="53">
        <f>SUM(E79:G79)</f>
        <v>0</v>
      </c>
      <c r="I79" s="53">
        <v>0</v>
      </c>
      <c r="J79" s="53"/>
      <c r="K79" s="53"/>
      <c r="L79" s="53">
        <f>SUM(I79:K79)</f>
        <v>0</v>
      </c>
      <c r="M79" s="53">
        <f>H79+L79</f>
        <v>0</v>
      </c>
      <c r="N79" s="53">
        <f t="shared" ref="N79:N89" si="42">D79-M79</f>
        <v>0</v>
      </c>
      <c r="O79" s="34"/>
    </row>
    <row r="80" spans="1:15" s="35" customFormat="1" ht="15.75" hidden="1" x14ac:dyDescent="0.25">
      <c r="A80" s="57"/>
      <c r="B80" s="52" t="s">
        <v>111</v>
      </c>
      <c r="C80" s="52" t="s">
        <v>112</v>
      </c>
      <c r="D80" s="53">
        <v>0</v>
      </c>
      <c r="E80" s="53"/>
      <c r="F80" s="53"/>
      <c r="G80" s="53"/>
      <c r="H80" s="53">
        <f>SUM(E80:G80)</f>
        <v>0</v>
      </c>
      <c r="I80" s="53">
        <v>0</v>
      </c>
      <c r="J80" s="53"/>
      <c r="K80" s="53"/>
      <c r="L80" s="53">
        <f>SUM(I80:K80)</f>
        <v>0</v>
      </c>
      <c r="M80" s="53">
        <f>H80+L80</f>
        <v>0</v>
      </c>
      <c r="N80" s="53">
        <f t="shared" si="42"/>
        <v>0</v>
      </c>
      <c r="O80" s="34"/>
    </row>
    <row r="81" spans="1:15" s="35" customFormat="1" ht="15.75" hidden="1" x14ac:dyDescent="0.25">
      <c r="A81" s="57"/>
      <c r="B81" s="37" t="s">
        <v>113</v>
      </c>
      <c r="C81" s="37" t="s">
        <v>114</v>
      </c>
      <c r="D81" s="38">
        <f>D82</f>
        <v>0</v>
      </c>
      <c r="E81" s="38">
        <f t="shared" ref="E81:N81" si="43">E82</f>
        <v>0</v>
      </c>
      <c r="F81" s="38">
        <f t="shared" si="43"/>
        <v>0</v>
      </c>
      <c r="G81" s="38">
        <f t="shared" si="43"/>
        <v>0</v>
      </c>
      <c r="H81" s="38">
        <f t="shared" si="43"/>
        <v>0</v>
      </c>
      <c r="I81" s="38">
        <f t="shared" si="43"/>
        <v>0</v>
      </c>
      <c r="J81" s="38">
        <f t="shared" si="43"/>
        <v>0</v>
      </c>
      <c r="K81" s="38">
        <f t="shared" si="43"/>
        <v>0</v>
      </c>
      <c r="L81" s="38">
        <f t="shared" si="43"/>
        <v>0</v>
      </c>
      <c r="M81" s="38">
        <f t="shared" si="43"/>
        <v>0</v>
      </c>
      <c r="N81" s="38">
        <f t="shared" si="43"/>
        <v>0</v>
      </c>
      <c r="O81" s="34"/>
    </row>
    <row r="82" spans="1:15" s="35" customFormat="1" ht="15.75" hidden="1" x14ac:dyDescent="0.25">
      <c r="A82" s="57"/>
      <c r="B82" s="37" t="s">
        <v>115</v>
      </c>
      <c r="C82" s="37" t="s">
        <v>116</v>
      </c>
      <c r="D82" s="38">
        <f>D83+D84</f>
        <v>0</v>
      </c>
      <c r="E82" s="38">
        <f t="shared" ref="E82:F82" si="44">SUM(E84:E84)</f>
        <v>0</v>
      </c>
      <c r="F82" s="38">
        <f t="shared" si="44"/>
        <v>0</v>
      </c>
      <c r="G82" s="38">
        <f>G83+G84</f>
        <v>0</v>
      </c>
      <c r="H82" s="38">
        <f t="shared" ref="H82:N82" si="45">H83+H84</f>
        <v>0</v>
      </c>
      <c r="I82" s="38">
        <f t="shared" si="45"/>
        <v>0</v>
      </c>
      <c r="J82" s="38">
        <f t="shared" si="45"/>
        <v>0</v>
      </c>
      <c r="K82" s="38">
        <f t="shared" si="45"/>
        <v>0</v>
      </c>
      <c r="L82" s="38">
        <f t="shared" si="45"/>
        <v>0</v>
      </c>
      <c r="M82" s="38">
        <f t="shared" si="45"/>
        <v>0</v>
      </c>
      <c r="N82" s="38">
        <f t="shared" si="45"/>
        <v>0</v>
      </c>
      <c r="O82" s="34"/>
    </row>
    <row r="83" spans="1:15" s="35" customFormat="1" ht="15.75" hidden="1" x14ac:dyDescent="0.25">
      <c r="A83" s="57"/>
      <c r="B83" s="52" t="s">
        <v>117</v>
      </c>
      <c r="C83" s="52" t="s">
        <v>118</v>
      </c>
      <c r="D83" s="53"/>
      <c r="E83" s="53"/>
      <c r="F83" s="53"/>
      <c r="G83" s="53"/>
      <c r="H83" s="53">
        <f>SUM(E83:G83)</f>
        <v>0</v>
      </c>
      <c r="I83" s="53">
        <v>0</v>
      </c>
      <c r="J83" s="53"/>
      <c r="K83" s="53"/>
      <c r="L83" s="53">
        <f>SUM(I83:K83)</f>
        <v>0</v>
      </c>
      <c r="M83" s="53">
        <f>H83+L83</f>
        <v>0</v>
      </c>
      <c r="N83" s="53">
        <f t="shared" ref="N83" si="46">D83-M83</f>
        <v>0</v>
      </c>
      <c r="O83" s="34"/>
    </row>
    <row r="84" spans="1:15" s="35" customFormat="1" ht="15.75" hidden="1" x14ac:dyDescent="0.25">
      <c r="A84" s="57"/>
      <c r="B84" s="52" t="s">
        <v>119</v>
      </c>
      <c r="C84" s="52" t="s">
        <v>120</v>
      </c>
      <c r="D84" s="53"/>
      <c r="E84" s="53"/>
      <c r="F84" s="53"/>
      <c r="G84" s="53"/>
      <c r="H84" s="53">
        <f>SUM(E84:G84)</f>
        <v>0</v>
      </c>
      <c r="I84" s="53">
        <v>0</v>
      </c>
      <c r="J84" s="53"/>
      <c r="K84" s="53"/>
      <c r="L84" s="53">
        <f>SUM(I84:K84)</f>
        <v>0</v>
      </c>
      <c r="M84" s="53">
        <f>H84+L84</f>
        <v>0</v>
      </c>
      <c r="N84" s="53">
        <f t="shared" si="42"/>
        <v>0</v>
      </c>
      <c r="O84" s="34"/>
    </row>
    <row r="85" spans="1:15" s="35" customFormat="1" ht="15.75" hidden="1" x14ac:dyDescent="0.25">
      <c r="A85" s="57"/>
      <c r="B85" s="37" t="s">
        <v>121</v>
      </c>
      <c r="C85" s="37" t="s">
        <v>122</v>
      </c>
      <c r="D85" s="38">
        <f>D86+D88</f>
        <v>0</v>
      </c>
      <c r="E85" s="38">
        <f t="shared" ref="E85:N85" si="47">E86+E88</f>
        <v>0</v>
      </c>
      <c r="F85" s="38">
        <f t="shared" si="47"/>
        <v>0</v>
      </c>
      <c r="G85" s="38">
        <f t="shared" si="47"/>
        <v>0</v>
      </c>
      <c r="H85" s="38">
        <f t="shared" si="47"/>
        <v>0</v>
      </c>
      <c r="I85" s="38">
        <f t="shared" si="47"/>
        <v>0</v>
      </c>
      <c r="J85" s="38">
        <f t="shared" si="47"/>
        <v>0</v>
      </c>
      <c r="K85" s="38">
        <f t="shared" si="47"/>
        <v>0</v>
      </c>
      <c r="L85" s="38">
        <f t="shared" si="47"/>
        <v>0</v>
      </c>
      <c r="M85" s="38">
        <f t="shared" si="47"/>
        <v>0</v>
      </c>
      <c r="N85" s="38">
        <f t="shared" si="47"/>
        <v>0</v>
      </c>
      <c r="O85" s="34"/>
    </row>
    <row r="86" spans="1:15" s="35" customFormat="1" ht="15.75" hidden="1" x14ac:dyDescent="0.25">
      <c r="A86" s="57"/>
      <c r="B86" s="37" t="s">
        <v>123</v>
      </c>
      <c r="C86" s="37" t="s">
        <v>124</v>
      </c>
      <c r="D86" s="38">
        <f>D87</f>
        <v>0</v>
      </c>
      <c r="E86" s="38">
        <f t="shared" ref="E86:N88" si="48">SUM(E87:E87)</f>
        <v>0</v>
      </c>
      <c r="F86" s="38">
        <f t="shared" si="48"/>
        <v>0</v>
      </c>
      <c r="G86" s="38">
        <f t="shared" si="48"/>
        <v>0</v>
      </c>
      <c r="H86" s="38">
        <f t="shared" si="48"/>
        <v>0</v>
      </c>
      <c r="I86" s="38">
        <f t="shared" si="48"/>
        <v>0</v>
      </c>
      <c r="J86" s="38">
        <f t="shared" si="48"/>
        <v>0</v>
      </c>
      <c r="K86" s="38">
        <f t="shared" si="48"/>
        <v>0</v>
      </c>
      <c r="L86" s="38">
        <f t="shared" si="48"/>
        <v>0</v>
      </c>
      <c r="M86" s="38">
        <f t="shared" si="48"/>
        <v>0</v>
      </c>
      <c r="N86" s="38">
        <f t="shared" si="48"/>
        <v>0</v>
      </c>
      <c r="O86" s="34"/>
    </row>
    <row r="87" spans="1:15" s="35" customFormat="1" ht="15.75" hidden="1" x14ac:dyDescent="0.25">
      <c r="A87" s="57"/>
      <c r="B87" s="52" t="s">
        <v>125</v>
      </c>
      <c r="C87" s="52" t="s">
        <v>126</v>
      </c>
      <c r="D87" s="53"/>
      <c r="E87" s="53"/>
      <c r="F87" s="53"/>
      <c r="G87" s="53"/>
      <c r="H87" s="53">
        <f>SUM(E87:G87)</f>
        <v>0</v>
      </c>
      <c r="I87" s="53">
        <v>0</v>
      </c>
      <c r="J87" s="53"/>
      <c r="K87" s="53"/>
      <c r="L87" s="53">
        <f>SUM(I87:K87)</f>
        <v>0</v>
      </c>
      <c r="M87" s="53">
        <f>H87+L87</f>
        <v>0</v>
      </c>
      <c r="N87" s="53">
        <f t="shared" ref="N87" si="49">D87-M87</f>
        <v>0</v>
      </c>
      <c r="O87" s="34"/>
    </row>
    <row r="88" spans="1:15" s="35" customFormat="1" ht="15.75" hidden="1" x14ac:dyDescent="0.25">
      <c r="A88" s="57"/>
      <c r="B88" s="37" t="s">
        <v>127</v>
      </c>
      <c r="C88" s="37" t="s">
        <v>128</v>
      </c>
      <c r="D88" s="38">
        <f>D89</f>
        <v>0</v>
      </c>
      <c r="E88" s="38">
        <f t="shared" si="48"/>
        <v>0</v>
      </c>
      <c r="F88" s="38">
        <f t="shared" si="48"/>
        <v>0</v>
      </c>
      <c r="G88" s="38">
        <f t="shared" si="48"/>
        <v>0</v>
      </c>
      <c r="H88" s="38">
        <f t="shared" si="48"/>
        <v>0</v>
      </c>
      <c r="I88" s="38">
        <f t="shared" si="48"/>
        <v>0</v>
      </c>
      <c r="J88" s="38">
        <f t="shared" si="48"/>
        <v>0</v>
      </c>
      <c r="K88" s="38">
        <f t="shared" si="48"/>
        <v>0</v>
      </c>
      <c r="L88" s="38">
        <f t="shared" si="48"/>
        <v>0</v>
      </c>
      <c r="M88" s="38">
        <f t="shared" si="48"/>
        <v>0</v>
      </c>
      <c r="N88" s="38">
        <f t="shared" si="48"/>
        <v>0</v>
      </c>
      <c r="O88" s="34"/>
    </row>
    <row r="89" spans="1:15" s="35" customFormat="1" ht="15.75" hidden="1" x14ac:dyDescent="0.25">
      <c r="A89" s="57"/>
      <c r="B89" s="52" t="s">
        <v>129</v>
      </c>
      <c r="C89" s="52" t="s">
        <v>130</v>
      </c>
      <c r="D89" s="53"/>
      <c r="E89" s="53"/>
      <c r="F89" s="53"/>
      <c r="G89" s="53"/>
      <c r="H89" s="53">
        <f>SUM(E89:G89)</f>
        <v>0</v>
      </c>
      <c r="I89" s="53">
        <v>0</v>
      </c>
      <c r="J89" s="53"/>
      <c r="K89" s="53"/>
      <c r="L89" s="53">
        <f>SUM(I89:K89)</f>
        <v>0</v>
      </c>
      <c r="M89" s="53">
        <f>H89+L89</f>
        <v>0</v>
      </c>
      <c r="N89" s="53">
        <f t="shared" si="42"/>
        <v>0</v>
      </c>
      <c r="O89" s="34"/>
    </row>
    <row r="90" spans="1:15" s="35" customFormat="1" ht="15.75" hidden="1" x14ac:dyDescent="0.25">
      <c r="A90" s="57"/>
      <c r="B90" s="37" t="s">
        <v>131</v>
      </c>
      <c r="C90" s="37" t="s">
        <v>132</v>
      </c>
      <c r="D90" s="38">
        <f>D91</f>
        <v>0</v>
      </c>
      <c r="E90" s="38">
        <f t="shared" ref="E90:N90" si="50">E91</f>
        <v>0</v>
      </c>
      <c r="F90" s="38">
        <f t="shared" si="50"/>
        <v>0</v>
      </c>
      <c r="G90" s="38">
        <f t="shared" si="50"/>
        <v>0</v>
      </c>
      <c r="H90" s="38">
        <f t="shared" si="50"/>
        <v>0</v>
      </c>
      <c r="I90" s="38">
        <f t="shared" si="50"/>
        <v>0</v>
      </c>
      <c r="J90" s="38">
        <f t="shared" si="50"/>
        <v>0</v>
      </c>
      <c r="K90" s="38">
        <f t="shared" si="50"/>
        <v>0</v>
      </c>
      <c r="L90" s="38">
        <f t="shared" si="50"/>
        <v>0</v>
      </c>
      <c r="M90" s="38">
        <f t="shared" si="50"/>
        <v>0</v>
      </c>
      <c r="N90" s="38">
        <f t="shared" si="50"/>
        <v>0</v>
      </c>
      <c r="O90" s="34"/>
    </row>
    <row r="91" spans="1:15" s="35" customFormat="1" ht="15.75" hidden="1" x14ac:dyDescent="0.25">
      <c r="A91" s="57"/>
      <c r="B91" s="37" t="s">
        <v>133</v>
      </c>
      <c r="C91" s="37" t="s">
        <v>134</v>
      </c>
      <c r="D91" s="38">
        <f t="shared" ref="D91:N91" si="51">SUM(D92:D92)</f>
        <v>0</v>
      </c>
      <c r="E91" s="38">
        <f t="shared" si="51"/>
        <v>0</v>
      </c>
      <c r="F91" s="38">
        <f t="shared" si="51"/>
        <v>0</v>
      </c>
      <c r="G91" s="38">
        <f t="shared" si="51"/>
        <v>0</v>
      </c>
      <c r="H91" s="38">
        <f t="shared" si="51"/>
        <v>0</v>
      </c>
      <c r="I91" s="38">
        <f t="shared" si="51"/>
        <v>0</v>
      </c>
      <c r="J91" s="38">
        <f t="shared" si="51"/>
        <v>0</v>
      </c>
      <c r="K91" s="38">
        <f t="shared" si="51"/>
        <v>0</v>
      </c>
      <c r="L91" s="38">
        <f t="shared" si="51"/>
        <v>0</v>
      </c>
      <c r="M91" s="38">
        <f t="shared" si="51"/>
        <v>0</v>
      </c>
      <c r="N91" s="38">
        <f t="shared" si="51"/>
        <v>0</v>
      </c>
      <c r="O91" s="34"/>
    </row>
    <row r="92" spans="1:15" s="35" customFormat="1" ht="15.75" hidden="1" x14ac:dyDescent="0.25">
      <c r="A92" s="57"/>
      <c r="B92" s="52" t="s">
        <v>135</v>
      </c>
      <c r="C92" s="52" t="s">
        <v>136</v>
      </c>
      <c r="D92" s="53">
        <v>0</v>
      </c>
      <c r="E92" s="53"/>
      <c r="F92" s="53"/>
      <c r="G92" s="53"/>
      <c r="H92" s="53">
        <f>SUM(E92:G92)</f>
        <v>0</v>
      </c>
      <c r="I92" s="53"/>
      <c r="J92" s="53"/>
      <c r="K92" s="53"/>
      <c r="L92" s="53">
        <f>SUM(I92:K92)</f>
        <v>0</v>
      </c>
      <c r="M92" s="53">
        <f>H92+L92</f>
        <v>0</v>
      </c>
      <c r="N92" s="53">
        <f t="shared" si="6"/>
        <v>0</v>
      </c>
      <c r="O92" s="34"/>
    </row>
    <row r="93" spans="1:15" s="35" customFormat="1" ht="15.75" hidden="1" x14ac:dyDescent="0.25">
      <c r="A93" s="44" t="s">
        <v>89</v>
      </c>
      <c r="B93" s="45" t="s">
        <v>137</v>
      </c>
      <c r="C93" s="46" t="s">
        <v>91</v>
      </c>
      <c r="D93" s="47">
        <f>D94+D100</f>
        <v>0</v>
      </c>
      <c r="E93" s="47">
        <f t="shared" ref="E93:N93" si="52">E94+E100</f>
        <v>0</v>
      </c>
      <c r="F93" s="47">
        <f t="shared" si="52"/>
        <v>0</v>
      </c>
      <c r="G93" s="47">
        <f t="shared" si="52"/>
        <v>0</v>
      </c>
      <c r="H93" s="47">
        <f t="shared" si="52"/>
        <v>0</v>
      </c>
      <c r="I93" s="47">
        <f t="shared" si="52"/>
        <v>0</v>
      </c>
      <c r="J93" s="47">
        <f t="shared" si="52"/>
        <v>0</v>
      </c>
      <c r="K93" s="47">
        <f t="shared" si="52"/>
        <v>0</v>
      </c>
      <c r="L93" s="47">
        <f t="shared" si="52"/>
        <v>0</v>
      </c>
      <c r="M93" s="47">
        <f t="shared" si="52"/>
        <v>0</v>
      </c>
      <c r="N93" s="47">
        <f t="shared" si="52"/>
        <v>0</v>
      </c>
      <c r="O93" s="54">
        <f>J93+K93</f>
        <v>0</v>
      </c>
    </row>
    <row r="94" spans="1:15" s="35" customFormat="1" ht="15.75" hidden="1" x14ac:dyDescent="0.25">
      <c r="A94" s="30"/>
      <c r="B94" s="37" t="s">
        <v>21</v>
      </c>
      <c r="C94" s="37" t="s">
        <v>22</v>
      </c>
      <c r="D94" s="38">
        <f>+D95</f>
        <v>0</v>
      </c>
      <c r="E94" s="38">
        <f t="shared" ref="E94" si="53">+E95</f>
        <v>0</v>
      </c>
      <c r="F94" s="38">
        <f>+F95</f>
        <v>0</v>
      </c>
      <c r="G94" s="38">
        <f t="shared" ref="G94:N94" si="54">+G95</f>
        <v>0</v>
      </c>
      <c r="H94" s="38">
        <f t="shared" si="54"/>
        <v>0</v>
      </c>
      <c r="I94" s="38">
        <f t="shared" si="54"/>
        <v>0</v>
      </c>
      <c r="J94" s="38">
        <f t="shared" si="54"/>
        <v>0</v>
      </c>
      <c r="K94" s="38">
        <f t="shared" si="54"/>
        <v>0</v>
      </c>
      <c r="L94" s="38">
        <f t="shared" si="54"/>
        <v>0</v>
      </c>
      <c r="M94" s="38">
        <f t="shared" si="54"/>
        <v>0</v>
      </c>
      <c r="N94" s="38">
        <f t="shared" si="54"/>
        <v>0</v>
      </c>
      <c r="O94" s="34"/>
    </row>
    <row r="95" spans="1:15" s="35" customFormat="1" ht="15.75" hidden="1" x14ac:dyDescent="0.25">
      <c r="A95" s="30"/>
      <c r="B95" s="37" t="s">
        <v>28</v>
      </c>
      <c r="C95" s="37" t="s">
        <v>29</v>
      </c>
      <c r="D95" s="38">
        <f>D96</f>
        <v>0</v>
      </c>
      <c r="E95" s="38">
        <f t="shared" ref="E95:M96" si="55">E96</f>
        <v>0</v>
      </c>
      <c r="F95" s="38">
        <f>F96</f>
        <v>0</v>
      </c>
      <c r="G95" s="38">
        <f t="shared" ref="G95:N95" si="56">G96</f>
        <v>0</v>
      </c>
      <c r="H95" s="38">
        <f t="shared" si="56"/>
        <v>0</v>
      </c>
      <c r="I95" s="38">
        <f t="shared" si="56"/>
        <v>0</v>
      </c>
      <c r="J95" s="38">
        <f t="shared" si="56"/>
        <v>0</v>
      </c>
      <c r="K95" s="38">
        <f t="shared" si="56"/>
        <v>0</v>
      </c>
      <c r="L95" s="38">
        <f t="shared" si="56"/>
        <v>0</v>
      </c>
      <c r="M95" s="38">
        <f t="shared" si="56"/>
        <v>0</v>
      </c>
      <c r="N95" s="38">
        <f t="shared" si="56"/>
        <v>0</v>
      </c>
      <c r="O95" s="34"/>
    </row>
    <row r="96" spans="1:15" s="35" customFormat="1" ht="15.75" hidden="1" x14ac:dyDescent="0.25">
      <c r="A96" s="57"/>
      <c r="B96" s="37" t="s">
        <v>67</v>
      </c>
      <c r="C96" s="37" t="s">
        <v>68</v>
      </c>
      <c r="D96" s="38">
        <f>D97</f>
        <v>0</v>
      </c>
      <c r="E96" s="38">
        <f t="shared" si="55"/>
        <v>0</v>
      </c>
      <c r="F96" s="38">
        <f t="shared" si="55"/>
        <v>0</v>
      </c>
      <c r="G96" s="38">
        <f t="shared" si="55"/>
        <v>0</v>
      </c>
      <c r="H96" s="38">
        <f t="shared" si="55"/>
        <v>0</v>
      </c>
      <c r="I96" s="38">
        <f t="shared" si="55"/>
        <v>0</v>
      </c>
      <c r="J96" s="38">
        <f t="shared" si="55"/>
        <v>0</v>
      </c>
      <c r="K96" s="38">
        <f t="shared" si="55"/>
        <v>0</v>
      </c>
      <c r="L96" s="38">
        <f t="shared" si="55"/>
        <v>0</v>
      </c>
      <c r="M96" s="38">
        <f t="shared" si="55"/>
        <v>0</v>
      </c>
      <c r="N96" s="38">
        <f t="shared" ref="N96:N108" si="57">D96-M96</f>
        <v>0</v>
      </c>
      <c r="O96" s="34"/>
    </row>
    <row r="97" spans="1:15" s="35" customFormat="1" ht="15.75" hidden="1" x14ac:dyDescent="0.25">
      <c r="A97" s="57"/>
      <c r="B97" s="37" t="s">
        <v>138</v>
      </c>
      <c r="C97" s="37" t="s">
        <v>139</v>
      </c>
      <c r="D97" s="38">
        <f>SUM(D98:D99)</f>
        <v>0</v>
      </c>
      <c r="E97" s="38">
        <f t="shared" ref="E97:N97" si="58">SUM(E98:E99)</f>
        <v>0</v>
      </c>
      <c r="F97" s="38">
        <f t="shared" si="58"/>
        <v>0</v>
      </c>
      <c r="G97" s="38">
        <f t="shared" si="58"/>
        <v>0</v>
      </c>
      <c r="H97" s="38">
        <f t="shared" si="58"/>
        <v>0</v>
      </c>
      <c r="I97" s="38">
        <f t="shared" si="58"/>
        <v>0</v>
      </c>
      <c r="J97" s="38">
        <f t="shared" si="58"/>
        <v>0</v>
      </c>
      <c r="K97" s="38">
        <f t="shared" si="58"/>
        <v>0</v>
      </c>
      <c r="L97" s="38">
        <f t="shared" si="58"/>
        <v>0</v>
      </c>
      <c r="M97" s="38">
        <f t="shared" si="58"/>
        <v>0</v>
      </c>
      <c r="N97" s="38">
        <f t="shared" si="58"/>
        <v>0</v>
      </c>
      <c r="O97" s="34"/>
    </row>
    <row r="98" spans="1:15" s="35" customFormat="1" ht="15.75" hidden="1" x14ac:dyDescent="0.25">
      <c r="A98" s="57"/>
      <c r="B98" s="52" t="s">
        <v>140</v>
      </c>
      <c r="C98" s="52" t="s">
        <v>141</v>
      </c>
      <c r="D98" s="53">
        <v>0</v>
      </c>
      <c r="E98" s="53"/>
      <c r="F98" s="53"/>
      <c r="G98" s="53"/>
      <c r="H98" s="53">
        <f>SUM(E98:G98)</f>
        <v>0</v>
      </c>
      <c r="I98" s="53"/>
      <c r="J98" s="53"/>
      <c r="K98" s="53"/>
      <c r="L98" s="53">
        <f>SUM(I98:K98)</f>
        <v>0</v>
      </c>
      <c r="M98" s="53">
        <f>H98+L98</f>
        <v>0</v>
      </c>
      <c r="N98" s="53">
        <f t="shared" si="57"/>
        <v>0</v>
      </c>
      <c r="O98" s="34"/>
    </row>
    <row r="99" spans="1:15" s="35" customFormat="1" ht="15.75" hidden="1" x14ac:dyDescent="0.25">
      <c r="A99" s="57"/>
      <c r="B99" s="52" t="s">
        <v>140</v>
      </c>
      <c r="C99" s="52" t="s">
        <v>142</v>
      </c>
      <c r="D99" s="53"/>
      <c r="E99" s="53">
        <f>SUM(B99:D99)</f>
        <v>0</v>
      </c>
      <c r="F99" s="53"/>
      <c r="G99" s="53"/>
      <c r="H99" s="53">
        <f>SUM(E99:G99)</f>
        <v>0</v>
      </c>
      <c r="I99" s="53"/>
      <c r="J99" s="53"/>
      <c r="K99" s="53"/>
      <c r="L99" s="53">
        <f>SUM(I99:K99)</f>
        <v>0</v>
      </c>
      <c r="M99" s="53">
        <f>H99+L99</f>
        <v>0</v>
      </c>
      <c r="N99" s="53">
        <f t="shared" si="57"/>
        <v>0</v>
      </c>
      <c r="O99" s="34"/>
    </row>
    <row r="100" spans="1:15" s="35" customFormat="1" ht="15.75" hidden="1" x14ac:dyDescent="0.25">
      <c r="A100" s="57"/>
      <c r="B100" s="37" t="s">
        <v>23</v>
      </c>
      <c r="C100" s="37" t="s">
        <v>24</v>
      </c>
      <c r="D100" s="38">
        <f>D101</f>
        <v>0</v>
      </c>
      <c r="E100" s="38">
        <f t="shared" ref="E100:N100" si="59">E101</f>
        <v>0</v>
      </c>
      <c r="F100" s="38">
        <f t="shared" si="59"/>
        <v>0</v>
      </c>
      <c r="G100" s="38">
        <f t="shared" si="59"/>
        <v>0</v>
      </c>
      <c r="H100" s="38">
        <f t="shared" si="59"/>
        <v>0</v>
      </c>
      <c r="I100" s="38">
        <f t="shared" si="59"/>
        <v>0</v>
      </c>
      <c r="J100" s="38">
        <f t="shared" si="59"/>
        <v>0</v>
      </c>
      <c r="K100" s="38">
        <f t="shared" si="59"/>
        <v>0</v>
      </c>
      <c r="L100" s="38">
        <f t="shared" si="59"/>
        <v>0</v>
      </c>
      <c r="M100" s="38">
        <f t="shared" si="59"/>
        <v>0</v>
      </c>
      <c r="N100" s="38">
        <f t="shared" si="59"/>
        <v>0</v>
      </c>
      <c r="O100" s="34"/>
    </row>
    <row r="101" spans="1:15" s="35" customFormat="1" ht="15.75" hidden="1" x14ac:dyDescent="0.25">
      <c r="A101" s="57"/>
      <c r="B101" s="37" t="s">
        <v>86</v>
      </c>
      <c r="C101" s="37" t="s">
        <v>87</v>
      </c>
      <c r="D101" s="38">
        <f>D102+D106</f>
        <v>0</v>
      </c>
      <c r="E101" s="38">
        <f t="shared" ref="E101:N101" si="60">E102+E106</f>
        <v>0</v>
      </c>
      <c r="F101" s="38">
        <f t="shared" si="60"/>
        <v>0</v>
      </c>
      <c r="G101" s="38">
        <f t="shared" si="60"/>
        <v>0</v>
      </c>
      <c r="H101" s="38">
        <f t="shared" si="60"/>
        <v>0</v>
      </c>
      <c r="I101" s="38">
        <f t="shared" si="60"/>
        <v>0</v>
      </c>
      <c r="J101" s="38">
        <f t="shared" si="60"/>
        <v>0</v>
      </c>
      <c r="K101" s="38">
        <f t="shared" si="60"/>
        <v>0</v>
      </c>
      <c r="L101" s="38">
        <f t="shared" si="60"/>
        <v>0</v>
      </c>
      <c r="M101" s="38">
        <f t="shared" si="60"/>
        <v>0</v>
      </c>
      <c r="N101" s="38">
        <f t="shared" si="60"/>
        <v>0</v>
      </c>
      <c r="O101" s="34"/>
    </row>
    <row r="102" spans="1:15" s="35" customFormat="1" ht="15.75" hidden="1" x14ac:dyDescent="0.25">
      <c r="A102" s="57"/>
      <c r="B102" s="37" t="s">
        <v>143</v>
      </c>
      <c r="C102" s="37" t="s">
        <v>144</v>
      </c>
      <c r="D102" s="38">
        <f>D103</f>
        <v>0</v>
      </c>
      <c r="E102" s="38">
        <f t="shared" ref="E102:N102" si="61">E103</f>
        <v>0</v>
      </c>
      <c r="F102" s="38">
        <f t="shared" si="61"/>
        <v>0</v>
      </c>
      <c r="G102" s="38">
        <f t="shared" si="61"/>
        <v>0</v>
      </c>
      <c r="H102" s="38">
        <f t="shared" si="61"/>
        <v>0</v>
      </c>
      <c r="I102" s="38">
        <f t="shared" si="61"/>
        <v>0</v>
      </c>
      <c r="J102" s="38">
        <f t="shared" si="61"/>
        <v>0</v>
      </c>
      <c r="K102" s="38">
        <f t="shared" si="61"/>
        <v>0</v>
      </c>
      <c r="L102" s="38">
        <f t="shared" si="61"/>
        <v>0</v>
      </c>
      <c r="M102" s="38">
        <f t="shared" si="61"/>
        <v>0</v>
      </c>
      <c r="N102" s="38">
        <f t="shared" si="61"/>
        <v>0</v>
      </c>
      <c r="O102" s="34"/>
    </row>
    <row r="103" spans="1:15" s="35" customFormat="1" ht="15.75" hidden="1" x14ac:dyDescent="0.25">
      <c r="A103" s="57"/>
      <c r="B103" s="37" t="s">
        <v>145</v>
      </c>
      <c r="C103" s="37" t="s">
        <v>104</v>
      </c>
      <c r="D103" s="38">
        <f>SUM(D104:D105)</f>
        <v>0</v>
      </c>
      <c r="E103" s="38">
        <f>SUM(E104:E105)</f>
        <v>0</v>
      </c>
      <c r="F103" s="38">
        <f t="shared" ref="F103:N103" si="62">SUM(F104:F105)</f>
        <v>0</v>
      </c>
      <c r="G103" s="38">
        <f t="shared" si="62"/>
        <v>0</v>
      </c>
      <c r="H103" s="38">
        <f t="shared" si="62"/>
        <v>0</v>
      </c>
      <c r="I103" s="38">
        <f t="shared" si="62"/>
        <v>0</v>
      </c>
      <c r="J103" s="38">
        <f t="shared" si="62"/>
        <v>0</v>
      </c>
      <c r="K103" s="38">
        <f t="shared" si="62"/>
        <v>0</v>
      </c>
      <c r="L103" s="38">
        <f t="shared" si="62"/>
        <v>0</v>
      </c>
      <c r="M103" s="38">
        <f t="shared" si="62"/>
        <v>0</v>
      </c>
      <c r="N103" s="38">
        <f t="shared" si="62"/>
        <v>0</v>
      </c>
      <c r="O103" s="34"/>
    </row>
    <row r="104" spans="1:15" s="35" customFormat="1" ht="15.75" hidden="1" x14ac:dyDescent="0.25">
      <c r="A104" s="57"/>
      <c r="B104" s="52" t="s">
        <v>146</v>
      </c>
      <c r="C104" s="52" t="s">
        <v>147</v>
      </c>
      <c r="D104" s="53">
        <v>0</v>
      </c>
      <c r="E104" s="38"/>
      <c r="F104" s="53"/>
      <c r="G104" s="53"/>
      <c r="H104" s="53">
        <f>SUM(E104:G104)</f>
        <v>0</v>
      </c>
      <c r="I104" s="53"/>
      <c r="J104" s="53"/>
      <c r="K104" s="53"/>
      <c r="L104" s="53">
        <f>SUM(I104:K104)</f>
        <v>0</v>
      </c>
      <c r="M104" s="53">
        <f>H104+L104</f>
        <v>0</v>
      </c>
      <c r="N104" s="53">
        <f t="shared" si="57"/>
        <v>0</v>
      </c>
      <c r="O104" s="34"/>
    </row>
    <row r="105" spans="1:15" s="35" customFormat="1" ht="15.75" hidden="1" x14ac:dyDescent="0.25">
      <c r="A105" s="57"/>
      <c r="B105" s="52" t="s">
        <v>148</v>
      </c>
      <c r="C105" s="52" t="s">
        <v>149</v>
      </c>
      <c r="D105" s="53"/>
      <c r="E105" s="53"/>
      <c r="F105" s="53"/>
      <c r="G105" s="53"/>
      <c r="H105" s="53">
        <f>SUM(E105:G105)</f>
        <v>0</v>
      </c>
      <c r="I105" s="53"/>
      <c r="J105" s="53"/>
      <c r="K105" s="53"/>
      <c r="L105" s="53">
        <f>SUM(I105:K105)</f>
        <v>0</v>
      </c>
      <c r="M105" s="53">
        <f>H105+L105</f>
        <v>0</v>
      </c>
      <c r="N105" s="53">
        <f t="shared" si="57"/>
        <v>0</v>
      </c>
      <c r="O105" s="34"/>
    </row>
    <row r="106" spans="1:15" s="35" customFormat="1" ht="15.75" hidden="1" x14ac:dyDescent="0.25">
      <c r="A106" s="57"/>
      <c r="B106" s="37" t="s">
        <v>150</v>
      </c>
      <c r="C106" s="37" t="s">
        <v>151</v>
      </c>
      <c r="D106" s="38">
        <f>D107</f>
        <v>0</v>
      </c>
      <c r="E106" s="38">
        <f t="shared" ref="E106:N107" si="63">E107</f>
        <v>0</v>
      </c>
      <c r="F106" s="38">
        <f t="shared" si="63"/>
        <v>0</v>
      </c>
      <c r="G106" s="38">
        <f t="shared" si="63"/>
        <v>0</v>
      </c>
      <c r="H106" s="38">
        <f t="shared" si="63"/>
        <v>0</v>
      </c>
      <c r="I106" s="38">
        <f t="shared" si="63"/>
        <v>0</v>
      </c>
      <c r="J106" s="38">
        <f t="shared" si="63"/>
        <v>0</v>
      </c>
      <c r="K106" s="38">
        <f t="shared" si="63"/>
        <v>0</v>
      </c>
      <c r="L106" s="38">
        <f t="shared" si="63"/>
        <v>0</v>
      </c>
      <c r="M106" s="38">
        <f t="shared" si="63"/>
        <v>0</v>
      </c>
      <c r="N106" s="38">
        <f t="shared" si="63"/>
        <v>0</v>
      </c>
      <c r="O106" s="34"/>
    </row>
    <row r="107" spans="1:15" s="35" customFormat="1" ht="15.75" hidden="1" x14ac:dyDescent="0.25">
      <c r="A107" s="57"/>
      <c r="B107" s="37" t="s">
        <v>152</v>
      </c>
      <c r="C107" s="37" t="s">
        <v>153</v>
      </c>
      <c r="D107" s="38">
        <f>D108</f>
        <v>0</v>
      </c>
      <c r="E107" s="38">
        <f t="shared" si="63"/>
        <v>0</v>
      </c>
      <c r="F107" s="38">
        <f t="shared" si="63"/>
        <v>0</v>
      </c>
      <c r="G107" s="38">
        <f t="shared" si="63"/>
        <v>0</v>
      </c>
      <c r="H107" s="38">
        <f t="shared" si="63"/>
        <v>0</v>
      </c>
      <c r="I107" s="38">
        <f t="shared" si="63"/>
        <v>0</v>
      </c>
      <c r="J107" s="38">
        <f t="shared" si="63"/>
        <v>0</v>
      </c>
      <c r="K107" s="38">
        <f t="shared" si="63"/>
        <v>0</v>
      </c>
      <c r="L107" s="38">
        <f t="shared" si="63"/>
        <v>0</v>
      </c>
      <c r="M107" s="38">
        <f t="shared" si="63"/>
        <v>0</v>
      </c>
      <c r="N107" s="38">
        <f t="shared" si="63"/>
        <v>0</v>
      </c>
      <c r="O107" s="34"/>
    </row>
    <row r="108" spans="1:15" s="35" customFormat="1" ht="15.75" hidden="1" x14ac:dyDescent="0.25">
      <c r="A108" s="57"/>
      <c r="B108" s="52" t="s">
        <v>154</v>
      </c>
      <c r="C108" s="52" t="s">
        <v>155</v>
      </c>
      <c r="D108" s="53">
        <v>0</v>
      </c>
      <c r="E108" s="53"/>
      <c r="F108" s="53"/>
      <c r="G108" s="53"/>
      <c r="H108" s="53">
        <f>SUM(E108:G108)</f>
        <v>0</v>
      </c>
      <c r="I108" s="53"/>
      <c r="J108" s="53"/>
      <c r="K108" s="53"/>
      <c r="L108" s="53">
        <f>SUM(I108:K108)</f>
        <v>0</v>
      </c>
      <c r="M108" s="53">
        <f>H108+L108</f>
        <v>0</v>
      </c>
      <c r="N108" s="53">
        <f t="shared" si="57"/>
        <v>0</v>
      </c>
      <c r="O108" s="34"/>
    </row>
    <row r="109" spans="1:15" s="35" customFormat="1" ht="15.75" x14ac:dyDescent="0.25">
      <c r="A109" s="44" t="s">
        <v>89</v>
      </c>
      <c r="B109" s="45" t="s">
        <v>156</v>
      </c>
      <c r="C109" s="46" t="s">
        <v>91</v>
      </c>
      <c r="D109" s="47">
        <f>D110+D115</f>
        <v>99900000</v>
      </c>
      <c r="E109" s="47">
        <f t="shared" ref="E109:N109" si="64">E110+E115</f>
        <v>0</v>
      </c>
      <c r="F109" s="47">
        <f t="shared" si="64"/>
        <v>0</v>
      </c>
      <c r="G109" s="47">
        <f t="shared" si="64"/>
        <v>0</v>
      </c>
      <c r="H109" s="47">
        <f t="shared" si="64"/>
        <v>0</v>
      </c>
      <c r="I109" s="47">
        <f t="shared" si="64"/>
        <v>0</v>
      </c>
      <c r="J109" s="47">
        <f t="shared" si="64"/>
        <v>0</v>
      </c>
      <c r="K109" s="47">
        <f t="shared" si="64"/>
        <v>0</v>
      </c>
      <c r="L109" s="47">
        <f t="shared" si="64"/>
        <v>0</v>
      </c>
      <c r="M109" s="47">
        <f t="shared" si="64"/>
        <v>0</v>
      </c>
      <c r="N109" s="47">
        <f t="shared" si="64"/>
        <v>99900000</v>
      </c>
      <c r="O109" s="34"/>
    </row>
    <row r="110" spans="1:15" s="35" customFormat="1" ht="15.75" hidden="1" x14ac:dyDescent="0.25">
      <c r="A110" s="57"/>
      <c r="B110" s="37" t="s">
        <v>157</v>
      </c>
      <c r="C110" s="37" t="s">
        <v>158</v>
      </c>
      <c r="D110" s="38">
        <f>+D111</f>
        <v>0</v>
      </c>
      <c r="E110" s="38">
        <f t="shared" ref="E110:M112" si="65">E111</f>
        <v>0</v>
      </c>
      <c r="F110" s="38">
        <f t="shared" si="65"/>
        <v>0</v>
      </c>
      <c r="G110" s="38">
        <f t="shared" si="65"/>
        <v>0</v>
      </c>
      <c r="H110" s="38">
        <f t="shared" si="65"/>
        <v>0</v>
      </c>
      <c r="I110" s="38">
        <f t="shared" si="65"/>
        <v>0</v>
      </c>
      <c r="J110" s="38">
        <f t="shared" si="65"/>
        <v>0</v>
      </c>
      <c r="K110" s="38">
        <f t="shared" si="65"/>
        <v>0</v>
      </c>
      <c r="L110" s="38">
        <f t="shared" si="65"/>
        <v>0</v>
      </c>
      <c r="M110" s="38">
        <f t="shared" si="65"/>
        <v>0</v>
      </c>
      <c r="N110" s="38">
        <f t="shared" si="6"/>
        <v>0</v>
      </c>
      <c r="O110" s="34"/>
    </row>
    <row r="111" spans="1:15" s="35" customFormat="1" ht="15.75" hidden="1" x14ac:dyDescent="0.25">
      <c r="A111" s="57"/>
      <c r="B111" s="37" t="s">
        <v>84</v>
      </c>
      <c r="C111" s="37" t="s">
        <v>159</v>
      </c>
      <c r="D111" s="38">
        <f>D112</f>
        <v>0</v>
      </c>
      <c r="E111" s="38">
        <f t="shared" si="65"/>
        <v>0</v>
      </c>
      <c r="F111" s="38">
        <f t="shared" si="65"/>
        <v>0</v>
      </c>
      <c r="G111" s="38">
        <f t="shared" si="65"/>
        <v>0</v>
      </c>
      <c r="H111" s="38">
        <f t="shared" si="65"/>
        <v>0</v>
      </c>
      <c r="I111" s="38">
        <f t="shared" si="65"/>
        <v>0</v>
      </c>
      <c r="J111" s="38">
        <f t="shared" si="65"/>
        <v>0</v>
      </c>
      <c r="K111" s="38">
        <f t="shared" si="65"/>
        <v>0</v>
      </c>
      <c r="L111" s="38">
        <f t="shared" si="65"/>
        <v>0</v>
      </c>
      <c r="M111" s="38">
        <f t="shared" si="65"/>
        <v>0</v>
      </c>
      <c r="N111" s="38">
        <f t="shared" si="6"/>
        <v>0</v>
      </c>
      <c r="O111" s="34"/>
    </row>
    <row r="112" spans="1:15" s="35" customFormat="1" ht="15.75" hidden="1" x14ac:dyDescent="0.25">
      <c r="A112" s="57"/>
      <c r="B112" s="37" t="s">
        <v>102</v>
      </c>
      <c r="C112" s="37" t="s">
        <v>88</v>
      </c>
      <c r="D112" s="38">
        <f>D113</f>
        <v>0</v>
      </c>
      <c r="E112" s="38">
        <f t="shared" si="65"/>
        <v>0</v>
      </c>
      <c r="F112" s="38">
        <f t="shared" si="65"/>
        <v>0</v>
      </c>
      <c r="G112" s="38">
        <f t="shared" si="65"/>
        <v>0</v>
      </c>
      <c r="H112" s="38">
        <f t="shared" si="65"/>
        <v>0</v>
      </c>
      <c r="I112" s="38">
        <f t="shared" si="65"/>
        <v>0</v>
      </c>
      <c r="J112" s="38">
        <f t="shared" si="65"/>
        <v>0</v>
      </c>
      <c r="K112" s="38">
        <f t="shared" si="65"/>
        <v>0</v>
      </c>
      <c r="L112" s="38">
        <f t="shared" si="65"/>
        <v>0</v>
      </c>
      <c r="M112" s="38">
        <f t="shared" si="65"/>
        <v>0</v>
      </c>
      <c r="N112" s="38">
        <f t="shared" si="6"/>
        <v>0</v>
      </c>
      <c r="O112" s="34"/>
    </row>
    <row r="113" spans="1:15" s="35" customFormat="1" ht="15.75" hidden="1" x14ac:dyDescent="0.25">
      <c r="A113" s="57"/>
      <c r="B113" s="37" t="s">
        <v>103</v>
      </c>
      <c r="C113" s="37" t="s">
        <v>104</v>
      </c>
      <c r="D113" s="38">
        <f>D114</f>
        <v>0</v>
      </c>
      <c r="E113" s="38">
        <f t="shared" ref="E113:M113" si="66">SUM(E114:E114)</f>
        <v>0</v>
      </c>
      <c r="F113" s="38">
        <f t="shared" si="66"/>
        <v>0</v>
      </c>
      <c r="G113" s="38">
        <f t="shared" si="66"/>
        <v>0</v>
      </c>
      <c r="H113" s="38">
        <f t="shared" si="66"/>
        <v>0</v>
      </c>
      <c r="I113" s="38">
        <f t="shared" si="66"/>
        <v>0</v>
      </c>
      <c r="J113" s="38">
        <f t="shared" si="66"/>
        <v>0</v>
      </c>
      <c r="K113" s="38">
        <f t="shared" si="66"/>
        <v>0</v>
      </c>
      <c r="L113" s="38">
        <f t="shared" si="66"/>
        <v>0</v>
      </c>
      <c r="M113" s="38">
        <f t="shared" si="66"/>
        <v>0</v>
      </c>
      <c r="N113" s="38">
        <f t="shared" si="6"/>
        <v>0</v>
      </c>
      <c r="O113" s="34"/>
    </row>
    <row r="114" spans="1:15" s="35" customFormat="1" ht="15.75" hidden="1" x14ac:dyDescent="0.25">
      <c r="A114" s="57"/>
      <c r="B114" s="52" t="s">
        <v>160</v>
      </c>
      <c r="C114" s="52" t="s">
        <v>161</v>
      </c>
      <c r="D114" s="53">
        <v>0</v>
      </c>
      <c r="E114" s="53"/>
      <c r="F114" s="53"/>
      <c r="G114" s="53"/>
      <c r="H114" s="53">
        <f>SUM(E114:G114)</f>
        <v>0</v>
      </c>
      <c r="I114" s="53"/>
      <c r="J114" s="53"/>
      <c r="K114" s="53"/>
      <c r="L114" s="53">
        <f>SUM(I114:K114)</f>
        <v>0</v>
      </c>
      <c r="M114" s="53">
        <f>H114+L114</f>
        <v>0</v>
      </c>
      <c r="N114" s="53">
        <f t="shared" si="6"/>
        <v>0</v>
      </c>
      <c r="O114" s="34"/>
    </row>
    <row r="115" spans="1:15" s="35" customFormat="1" ht="15.75" x14ac:dyDescent="0.25">
      <c r="A115" s="57"/>
      <c r="B115" s="37" t="s">
        <v>157</v>
      </c>
      <c r="C115" s="37" t="s">
        <v>158</v>
      </c>
      <c r="D115" s="38">
        <f>+D116+D122</f>
        <v>99900000</v>
      </c>
      <c r="E115" s="38">
        <f t="shared" ref="E115:M117" si="67">E116</f>
        <v>0</v>
      </c>
      <c r="F115" s="38">
        <f t="shared" si="67"/>
        <v>0</v>
      </c>
      <c r="G115" s="38">
        <f t="shared" si="67"/>
        <v>0</v>
      </c>
      <c r="H115" s="38">
        <f t="shared" si="67"/>
        <v>0</v>
      </c>
      <c r="I115" s="38">
        <f t="shared" si="67"/>
        <v>0</v>
      </c>
      <c r="J115" s="38">
        <f t="shared" si="67"/>
        <v>0</v>
      </c>
      <c r="K115" s="38">
        <f t="shared" si="67"/>
        <v>0</v>
      </c>
      <c r="L115" s="38">
        <f t="shared" si="67"/>
        <v>0</v>
      </c>
      <c r="M115" s="38">
        <f t="shared" si="67"/>
        <v>0</v>
      </c>
      <c r="N115" s="38">
        <f t="shared" si="6"/>
        <v>99900000</v>
      </c>
      <c r="O115" s="34"/>
    </row>
    <row r="116" spans="1:15" s="35" customFormat="1" ht="15.75" hidden="1" x14ac:dyDescent="0.25">
      <c r="A116" s="57"/>
      <c r="B116" s="37" t="s">
        <v>86</v>
      </c>
      <c r="C116" s="37" t="s">
        <v>87</v>
      </c>
      <c r="D116" s="38">
        <f>D117</f>
        <v>0</v>
      </c>
      <c r="E116" s="38">
        <f t="shared" si="67"/>
        <v>0</v>
      </c>
      <c r="F116" s="38">
        <f t="shared" si="67"/>
        <v>0</v>
      </c>
      <c r="G116" s="38">
        <f t="shared" si="67"/>
        <v>0</v>
      </c>
      <c r="H116" s="38">
        <f t="shared" si="67"/>
        <v>0</v>
      </c>
      <c r="I116" s="38">
        <f t="shared" si="67"/>
        <v>0</v>
      </c>
      <c r="J116" s="38">
        <f t="shared" si="67"/>
        <v>0</v>
      </c>
      <c r="K116" s="38">
        <f t="shared" si="67"/>
        <v>0</v>
      </c>
      <c r="L116" s="38">
        <f t="shared" si="67"/>
        <v>0</v>
      </c>
      <c r="M116" s="38">
        <f t="shared" si="67"/>
        <v>0</v>
      </c>
      <c r="N116" s="38">
        <f t="shared" si="6"/>
        <v>0</v>
      </c>
      <c r="O116" s="34"/>
    </row>
    <row r="117" spans="1:15" s="35" customFormat="1" ht="15.75" hidden="1" x14ac:dyDescent="0.25">
      <c r="A117" s="57"/>
      <c r="B117" s="37" t="s">
        <v>143</v>
      </c>
      <c r="C117" s="37" t="s">
        <v>144</v>
      </c>
      <c r="D117" s="38">
        <f>D118+D120</f>
        <v>0</v>
      </c>
      <c r="E117" s="38">
        <f t="shared" si="67"/>
        <v>0</v>
      </c>
      <c r="F117" s="38">
        <f t="shared" si="67"/>
        <v>0</v>
      </c>
      <c r="G117" s="38">
        <f>G118+G120</f>
        <v>0</v>
      </c>
      <c r="H117" s="38">
        <f t="shared" ref="H117:N117" si="68">H118+H120</f>
        <v>0</v>
      </c>
      <c r="I117" s="38">
        <f t="shared" si="68"/>
        <v>0</v>
      </c>
      <c r="J117" s="38">
        <f t="shared" si="68"/>
        <v>0</v>
      </c>
      <c r="K117" s="38">
        <f t="shared" si="68"/>
        <v>0</v>
      </c>
      <c r="L117" s="38">
        <f t="shared" si="68"/>
        <v>0</v>
      </c>
      <c r="M117" s="38">
        <f t="shared" si="68"/>
        <v>0</v>
      </c>
      <c r="N117" s="38">
        <f t="shared" si="68"/>
        <v>0</v>
      </c>
      <c r="O117" s="34"/>
    </row>
    <row r="118" spans="1:15" s="35" customFormat="1" ht="15.75" hidden="1" x14ac:dyDescent="0.25">
      <c r="A118" s="57"/>
      <c r="B118" s="37" t="s">
        <v>145</v>
      </c>
      <c r="C118" s="37" t="s">
        <v>162</v>
      </c>
      <c r="D118" s="38">
        <f>D119</f>
        <v>0</v>
      </c>
      <c r="E118" s="38">
        <f t="shared" ref="E118:M120" si="69">SUM(E119:E119)</f>
        <v>0</v>
      </c>
      <c r="F118" s="38">
        <f t="shared" si="69"/>
        <v>0</v>
      </c>
      <c r="G118" s="38">
        <f t="shared" si="69"/>
        <v>0</v>
      </c>
      <c r="H118" s="38">
        <f t="shared" si="69"/>
        <v>0</v>
      </c>
      <c r="I118" s="38">
        <f t="shared" si="69"/>
        <v>0</v>
      </c>
      <c r="J118" s="38">
        <f t="shared" si="69"/>
        <v>0</v>
      </c>
      <c r="K118" s="38">
        <f t="shared" si="69"/>
        <v>0</v>
      </c>
      <c r="L118" s="38">
        <f t="shared" si="69"/>
        <v>0</v>
      </c>
      <c r="M118" s="38">
        <f t="shared" si="69"/>
        <v>0</v>
      </c>
      <c r="N118" s="38">
        <f t="shared" si="6"/>
        <v>0</v>
      </c>
      <c r="O118" s="34"/>
    </row>
    <row r="119" spans="1:15" s="35" customFormat="1" ht="15.75" hidden="1" x14ac:dyDescent="0.25">
      <c r="A119" s="57"/>
      <c r="B119" s="52" t="s">
        <v>146</v>
      </c>
      <c r="C119" s="52" t="s">
        <v>147</v>
      </c>
      <c r="D119" s="53">
        <v>0</v>
      </c>
      <c r="E119" s="53"/>
      <c r="F119" s="53"/>
      <c r="G119" s="53"/>
      <c r="H119" s="53">
        <f>SUM(E119:G119)</f>
        <v>0</v>
      </c>
      <c r="I119" s="53"/>
      <c r="J119" s="53"/>
      <c r="K119" s="53"/>
      <c r="L119" s="53">
        <f>SUM(I119:K119)</f>
        <v>0</v>
      </c>
      <c r="M119" s="53">
        <f>H119+L119</f>
        <v>0</v>
      </c>
      <c r="N119" s="53">
        <f t="shared" si="6"/>
        <v>0</v>
      </c>
      <c r="O119" s="34"/>
    </row>
    <row r="120" spans="1:15" s="35" customFormat="1" ht="15.75" hidden="1" x14ac:dyDescent="0.25">
      <c r="A120" s="57"/>
      <c r="B120" s="37" t="s">
        <v>163</v>
      </c>
      <c r="C120" s="37" t="s">
        <v>108</v>
      </c>
      <c r="D120" s="38">
        <f>D121</f>
        <v>0</v>
      </c>
      <c r="E120" s="38">
        <f t="shared" si="69"/>
        <v>0</v>
      </c>
      <c r="F120" s="38">
        <f t="shared" si="69"/>
        <v>0</v>
      </c>
      <c r="G120" s="38">
        <f t="shared" si="69"/>
        <v>0</v>
      </c>
      <c r="H120" s="38">
        <f t="shared" si="69"/>
        <v>0</v>
      </c>
      <c r="I120" s="38">
        <f t="shared" si="69"/>
        <v>0</v>
      </c>
      <c r="J120" s="38">
        <f t="shared" si="69"/>
        <v>0</v>
      </c>
      <c r="K120" s="38">
        <f t="shared" si="69"/>
        <v>0</v>
      </c>
      <c r="L120" s="38">
        <f t="shared" si="69"/>
        <v>0</v>
      </c>
      <c r="M120" s="38">
        <f t="shared" si="69"/>
        <v>0</v>
      </c>
      <c r="N120" s="38">
        <f t="shared" si="6"/>
        <v>0</v>
      </c>
      <c r="O120" s="34"/>
    </row>
    <row r="121" spans="1:15" s="35" customFormat="1" ht="15.75" hidden="1" x14ac:dyDescent="0.25">
      <c r="A121" s="57"/>
      <c r="B121" s="52" t="s">
        <v>164</v>
      </c>
      <c r="C121" s="52" t="s">
        <v>165</v>
      </c>
      <c r="D121" s="53"/>
      <c r="E121" s="53"/>
      <c r="F121" s="53"/>
      <c r="G121" s="53"/>
      <c r="H121" s="53">
        <f>SUM(E121:G121)</f>
        <v>0</v>
      </c>
      <c r="I121" s="53"/>
      <c r="J121" s="53"/>
      <c r="K121" s="53"/>
      <c r="L121" s="53">
        <f>SUM(I121:K121)</f>
        <v>0</v>
      </c>
      <c r="M121" s="53">
        <f>H121+L121</f>
        <v>0</v>
      </c>
      <c r="N121" s="53">
        <f t="shared" si="6"/>
        <v>0</v>
      </c>
      <c r="O121" s="34"/>
    </row>
    <row r="122" spans="1:15" s="35" customFormat="1" ht="15.75" x14ac:dyDescent="0.25">
      <c r="A122" s="57"/>
      <c r="B122" s="37" t="s">
        <v>84</v>
      </c>
      <c r="C122" s="37" t="s">
        <v>88</v>
      </c>
      <c r="D122" s="38">
        <f>D123</f>
        <v>99900000</v>
      </c>
      <c r="E122" s="38">
        <f t="shared" ref="E122:M123" si="70">E123</f>
        <v>0</v>
      </c>
      <c r="F122" s="38">
        <f t="shared" si="70"/>
        <v>0</v>
      </c>
      <c r="G122" s="38">
        <f t="shared" si="70"/>
        <v>0</v>
      </c>
      <c r="H122" s="38">
        <f t="shared" si="70"/>
        <v>0</v>
      </c>
      <c r="I122" s="38">
        <f t="shared" si="70"/>
        <v>0</v>
      </c>
      <c r="J122" s="38">
        <f t="shared" si="70"/>
        <v>0</v>
      </c>
      <c r="K122" s="38">
        <f t="shared" si="70"/>
        <v>0</v>
      </c>
      <c r="L122" s="38">
        <f t="shared" si="70"/>
        <v>0</v>
      </c>
      <c r="M122" s="38">
        <f t="shared" si="70"/>
        <v>0</v>
      </c>
      <c r="N122" s="38">
        <f t="shared" si="6"/>
        <v>99900000</v>
      </c>
      <c r="O122" s="34"/>
    </row>
    <row r="123" spans="1:15" s="35" customFormat="1" ht="15.75" x14ac:dyDescent="0.25">
      <c r="A123" s="57"/>
      <c r="B123" s="37" t="s">
        <v>102</v>
      </c>
      <c r="C123" s="37" t="s">
        <v>88</v>
      </c>
      <c r="D123" s="38">
        <f>D124</f>
        <v>99900000</v>
      </c>
      <c r="E123" s="38">
        <f t="shared" si="70"/>
        <v>0</v>
      </c>
      <c r="F123" s="38">
        <f t="shared" si="70"/>
        <v>0</v>
      </c>
      <c r="G123" s="38">
        <f t="shared" si="70"/>
        <v>0</v>
      </c>
      <c r="H123" s="38">
        <f t="shared" si="70"/>
        <v>0</v>
      </c>
      <c r="I123" s="38">
        <f t="shared" si="70"/>
        <v>0</v>
      </c>
      <c r="J123" s="38">
        <f t="shared" si="70"/>
        <v>0</v>
      </c>
      <c r="K123" s="38">
        <f t="shared" si="70"/>
        <v>0</v>
      </c>
      <c r="L123" s="38">
        <f t="shared" si="70"/>
        <v>0</v>
      </c>
      <c r="M123" s="38">
        <f t="shared" si="70"/>
        <v>0</v>
      </c>
      <c r="N123" s="38">
        <f t="shared" si="6"/>
        <v>99900000</v>
      </c>
      <c r="O123" s="34"/>
    </row>
    <row r="124" spans="1:15" s="35" customFormat="1" ht="15.75" x14ac:dyDescent="0.25">
      <c r="A124" s="57"/>
      <c r="B124" s="37" t="s">
        <v>163</v>
      </c>
      <c r="C124" s="37" t="s">
        <v>108</v>
      </c>
      <c r="D124" s="38">
        <f>D125</f>
        <v>99900000</v>
      </c>
      <c r="E124" s="38">
        <f t="shared" ref="E124:M124" si="71">SUM(E125:E125)</f>
        <v>0</v>
      </c>
      <c r="F124" s="38">
        <f t="shared" si="71"/>
        <v>0</v>
      </c>
      <c r="G124" s="38">
        <f t="shared" si="71"/>
        <v>0</v>
      </c>
      <c r="H124" s="38">
        <f t="shared" si="71"/>
        <v>0</v>
      </c>
      <c r="I124" s="38">
        <f t="shared" si="71"/>
        <v>0</v>
      </c>
      <c r="J124" s="38">
        <f t="shared" si="71"/>
        <v>0</v>
      </c>
      <c r="K124" s="38">
        <f t="shared" si="71"/>
        <v>0</v>
      </c>
      <c r="L124" s="38">
        <f t="shared" si="71"/>
        <v>0</v>
      </c>
      <c r="M124" s="38">
        <f t="shared" si="71"/>
        <v>0</v>
      </c>
      <c r="N124" s="38">
        <f t="shared" si="6"/>
        <v>99900000</v>
      </c>
      <c r="O124" s="34"/>
    </row>
    <row r="125" spans="1:15" s="35" customFormat="1" ht="15.75" x14ac:dyDescent="0.25">
      <c r="A125" s="57"/>
      <c r="B125" s="52" t="s">
        <v>164</v>
      </c>
      <c r="C125" s="52" t="s">
        <v>165</v>
      </c>
      <c r="D125" s="53">
        <v>99900000</v>
      </c>
      <c r="E125" s="53"/>
      <c r="F125" s="53"/>
      <c r="G125" s="53"/>
      <c r="H125" s="53">
        <f>SUM(E125:G125)</f>
        <v>0</v>
      </c>
      <c r="I125" s="53"/>
      <c r="J125" s="53"/>
      <c r="K125" s="53"/>
      <c r="L125" s="53">
        <f>SUM(I125:K125)</f>
        <v>0</v>
      </c>
      <c r="M125" s="53">
        <f>H125+L125</f>
        <v>0</v>
      </c>
      <c r="N125" s="53">
        <f t="shared" si="6"/>
        <v>99900000</v>
      </c>
      <c r="O125" s="34"/>
    </row>
    <row r="126" spans="1:15" s="29" customFormat="1" ht="31.5" x14ac:dyDescent="0.25">
      <c r="A126" s="39" t="s">
        <v>166</v>
      </c>
      <c r="B126" s="40" t="s">
        <v>167</v>
      </c>
      <c r="C126" s="41" t="s">
        <v>168</v>
      </c>
      <c r="D126" s="42">
        <f t="shared" ref="D126:N127" si="72">D127</f>
        <v>1407045604.0999999</v>
      </c>
      <c r="E126" s="42">
        <f t="shared" si="72"/>
        <v>364681500</v>
      </c>
      <c r="F126" s="42">
        <f t="shared" si="72"/>
        <v>100205300</v>
      </c>
      <c r="G126" s="42">
        <f t="shared" si="72"/>
        <v>0</v>
      </c>
      <c r="H126" s="42">
        <f t="shared" si="72"/>
        <v>464886800</v>
      </c>
      <c r="I126" s="42">
        <f t="shared" si="72"/>
        <v>1319000</v>
      </c>
      <c r="J126" s="42">
        <f t="shared" si="72"/>
        <v>0</v>
      </c>
      <c r="K126" s="42">
        <f t="shared" si="72"/>
        <v>625000</v>
      </c>
      <c r="L126" s="42">
        <f t="shared" si="72"/>
        <v>1944000</v>
      </c>
      <c r="M126" s="42">
        <f t="shared" si="72"/>
        <v>466830800</v>
      </c>
      <c r="N126" s="42">
        <f t="shared" si="72"/>
        <v>940214804.10000002</v>
      </c>
      <c r="O126" s="43">
        <f>D135+D146</f>
        <v>1407045604.0999999</v>
      </c>
    </row>
    <row r="127" spans="1:15" s="35" customFormat="1" ht="15.75" x14ac:dyDescent="0.25">
      <c r="A127" s="30"/>
      <c r="B127" s="31" t="s">
        <v>19</v>
      </c>
      <c r="C127" s="32" t="s">
        <v>20</v>
      </c>
      <c r="D127" s="33">
        <f t="shared" si="72"/>
        <v>1407045604.0999999</v>
      </c>
      <c r="E127" s="33">
        <f t="shared" si="72"/>
        <v>364681500</v>
      </c>
      <c r="F127" s="33">
        <f t="shared" si="72"/>
        <v>100205300</v>
      </c>
      <c r="G127" s="33">
        <f t="shared" si="72"/>
        <v>0</v>
      </c>
      <c r="H127" s="33">
        <f t="shared" si="72"/>
        <v>464886800</v>
      </c>
      <c r="I127" s="33">
        <f t="shared" si="72"/>
        <v>1319000</v>
      </c>
      <c r="J127" s="33">
        <f t="shared" si="72"/>
        <v>0</v>
      </c>
      <c r="K127" s="33">
        <f t="shared" si="72"/>
        <v>625000</v>
      </c>
      <c r="L127" s="33">
        <f t="shared" si="72"/>
        <v>1944000</v>
      </c>
      <c r="M127" s="33">
        <f t="shared" si="72"/>
        <v>466830800</v>
      </c>
      <c r="N127" s="33">
        <f t="shared" si="72"/>
        <v>940214804.10000002</v>
      </c>
      <c r="O127" s="34"/>
    </row>
    <row r="128" spans="1:15" s="35" customFormat="1" ht="15.75" x14ac:dyDescent="0.25">
      <c r="A128" s="30"/>
      <c r="B128" s="36" t="s">
        <v>21</v>
      </c>
      <c r="C128" s="37" t="s">
        <v>22</v>
      </c>
      <c r="D128" s="38">
        <f>D130+D132</f>
        <v>1407045604.0999999</v>
      </c>
      <c r="E128" s="38">
        <f t="shared" ref="E128:N128" si="73">E130+E132</f>
        <v>364681500</v>
      </c>
      <c r="F128" s="38">
        <f t="shared" si="73"/>
        <v>100205300</v>
      </c>
      <c r="G128" s="38">
        <f t="shared" si="73"/>
        <v>0</v>
      </c>
      <c r="H128" s="38">
        <f t="shared" si="73"/>
        <v>464886800</v>
      </c>
      <c r="I128" s="38">
        <f t="shared" si="73"/>
        <v>1319000</v>
      </c>
      <c r="J128" s="38">
        <f t="shared" si="73"/>
        <v>0</v>
      </c>
      <c r="K128" s="38">
        <f t="shared" si="73"/>
        <v>625000</v>
      </c>
      <c r="L128" s="38">
        <f t="shared" si="73"/>
        <v>1944000</v>
      </c>
      <c r="M128" s="38">
        <f t="shared" si="73"/>
        <v>466830800</v>
      </c>
      <c r="N128" s="38">
        <f t="shared" si="73"/>
        <v>940214804.10000002</v>
      </c>
      <c r="O128" s="34"/>
    </row>
    <row r="129" spans="1:15" s="35" customFormat="1" ht="15.75" hidden="1" customHeight="1" x14ac:dyDescent="0.25">
      <c r="A129" s="30"/>
      <c r="B129" s="36" t="s">
        <v>21</v>
      </c>
      <c r="C129" s="37"/>
      <c r="D129" s="38" t="e">
        <f>SUM(D131,D133,D142)</f>
        <v>#REF!</v>
      </c>
      <c r="E129" s="38" t="e">
        <f t="shared" ref="E129:N129" si="74">SUM(E131,E133,E142)</f>
        <v>#REF!</v>
      </c>
      <c r="F129" s="38" t="e">
        <f t="shared" si="74"/>
        <v>#REF!</v>
      </c>
      <c r="G129" s="38" t="e">
        <f t="shared" si="74"/>
        <v>#REF!</v>
      </c>
      <c r="H129" s="38" t="e">
        <f t="shared" si="74"/>
        <v>#REF!</v>
      </c>
      <c r="I129" s="38" t="e">
        <f t="shared" si="74"/>
        <v>#REF!</v>
      </c>
      <c r="J129" s="38" t="e">
        <f t="shared" si="74"/>
        <v>#REF!</v>
      </c>
      <c r="K129" s="38" t="e">
        <f t="shared" si="74"/>
        <v>#REF!</v>
      </c>
      <c r="L129" s="38" t="e">
        <f t="shared" si="74"/>
        <v>#REF!</v>
      </c>
      <c r="M129" s="38" t="e">
        <f t="shared" si="74"/>
        <v>#REF!</v>
      </c>
      <c r="N129" s="38" t="e">
        <f t="shared" si="74"/>
        <v>#REF!</v>
      </c>
      <c r="O129" s="34"/>
    </row>
    <row r="130" spans="1:15" s="35" customFormat="1" ht="15.75" x14ac:dyDescent="0.25">
      <c r="A130" s="30"/>
      <c r="B130" s="36" t="s">
        <v>28</v>
      </c>
      <c r="C130" s="37" t="s">
        <v>29</v>
      </c>
      <c r="D130" s="38">
        <f>D149</f>
        <v>0</v>
      </c>
      <c r="E130" s="38">
        <f t="shared" ref="E130:N130" si="75">E149</f>
        <v>0</v>
      </c>
      <c r="F130" s="38">
        <f t="shared" si="75"/>
        <v>0</v>
      </c>
      <c r="G130" s="38">
        <f t="shared" si="75"/>
        <v>0</v>
      </c>
      <c r="H130" s="38">
        <f t="shared" si="75"/>
        <v>0</v>
      </c>
      <c r="I130" s="38">
        <f t="shared" si="75"/>
        <v>0</v>
      </c>
      <c r="J130" s="38">
        <f t="shared" si="75"/>
        <v>0</v>
      </c>
      <c r="K130" s="38">
        <f t="shared" si="75"/>
        <v>0</v>
      </c>
      <c r="L130" s="38">
        <f t="shared" si="75"/>
        <v>0</v>
      </c>
      <c r="M130" s="38">
        <f t="shared" si="75"/>
        <v>0</v>
      </c>
      <c r="N130" s="38">
        <f t="shared" si="75"/>
        <v>0</v>
      </c>
      <c r="O130" s="34"/>
    </row>
    <row r="131" spans="1:15" s="35" customFormat="1" ht="15.75" hidden="1" customHeight="1" x14ac:dyDescent="0.25">
      <c r="A131" s="30"/>
      <c r="B131" s="36" t="s">
        <v>30</v>
      </c>
      <c r="C131" s="37"/>
      <c r="D131" s="38" t="e">
        <f>SUM(#REF!,#REF!)</f>
        <v>#REF!</v>
      </c>
      <c r="E131" s="38" t="e">
        <f>SUM(#REF!,#REF!)</f>
        <v>#REF!</v>
      </c>
      <c r="F131" s="38" t="e">
        <f>SUM(#REF!,#REF!)</f>
        <v>#REF!</v>
      </c>
      <c r="G131" s="38" t="e">
        <f>SUM(#REF!,#REF!)</f>
        <v>#REF!</v>
      </c>
      <c r="H131" s="38" t="e">
        <f>SUM(#REF!,#REF!)</f>
        <v>#REF!</v>
      </c>
      <c r="I131" s="38" t="e">
        <f>SUM(#REF!,#REF!)</f>
        <v>#REF!</v>
      </c>
      <c r="J131" s="38" t="e">
        <f>SUM(#REF!,#REF!)</f>
        <v>#REF!</v>
      </c>
      <c r="K131" s="38" t="e">
        <f>SUM(#REF!,#REF!)</f>
        <v>#REF!</v>
      </c>
      <c r="L131" s="38" t="e">
        <f>SUM(#REF!,#REF!)</f>
        <v>#REF!</v>
      </c>
      <c r="M131" s="38" t="e">
        <f>SUM(#REF!,#REF!)</f>
        <v>#REF!</v>
      </c>
      <c r="N131" s="38" t="e">
        <f>SUM(#REF!,#REF!)</f>
        <v>#REF!</v>
      </c>
      <c r="O131" s="34"/>
    </row>
    <row r="132" spans="1:15" s="35" customFormat="1" ht="15.75" x14ac:dyDescent="0.25">
      <c r="A132" s="30"/>
      <c r="B132" s="36" t="s">
        <v>36</v>
      </c>
      <c r="C132" s="37" t="s">
        <v>169</v>
      </c>
      <c r="D132" s="38">
        <f>D134</f>
        <v>1407045604.0999999</v>
      </c>
      <c r="E132" s="38">
        <f t="shared" ref="E132:N132" si="76">E134</f>
        <v>364681500</v>
      </c>
      <c r="F132" s="38">
        <f t="shared" si="76"/>
        <v>100205300</v>
      </c>
      <c r="G132" s="38">
        <f t="shared" si="76"/>
        <v>0</v>
      </c>
      <c r="H132" s="38">
        <f t="shared" si="76"/>
        <v>464886800</v>
      </c>
      <c r="I132" s="38">
        <f t="shared" si="76"/>
        <v>1319000</v>
      </c>
      <c r="J132" s="38">
        <f t="shared" si="76"/>
        <v>0</v>
      </c>
      <c r="K132" s="38">
        <f t="shared" si="76"/>
        <v>625000</v>
      </c>
      <c r="L132" s="38">
        <f t="shared" si="76"/>
        <v>1944000</v>
      </c>
      <c r="M132" s="38">
        <f t="shared" si="76"/>
        <v>466830800</v>
      </c>
      <c r="N132" s="38">
        <f t="shared" si="76"/>
        <v>940214804.10000002</v>
      </c>
      <c r="O132" s="34"/>
    </row>
    <row r="133" spans="1:15" s="35" customFormat="1" ht="15.75" hidden="1" customHeight="1" x14ac:dyDescent="0.25">
      <c r="A133" s="30"/>
      <c r="B133" s="36" t="s">
        <v>170</v>
      </c>
      <c r="C133" s="37"/>
      <c r="D133" s="38" t="e">
        <f>#REF!+#REF!+#REF!</f>
        <v>#REF!</v>
      </c>
      <c r="E133" s="38" t="e">
        <f>#REF!+#REF!+#REF!</f>
        <v>#REF!</v>
      </c>
      <c r="F133" s="38" t="e">
        <f>#REF!+#REF!+#REF!</f>
        <v>#REF!</v>
      </c>
      <c r="G133" s="38" t="e">
        <f>#REF!+#REF!+#REF!</f>
        <v>#REF!</v>
      </c>
      <c r="H133" s="38" t="e">
        <f>#REF!+#REF!+#REF!</f>
        <v>#REF!</v>
      </c>
      <c r="I133" s="38" t="e">
        <f>#REF!+#REF!+#REF!</f>
        <v>#REF!</v>
      </c>
      <c r="J133" s="38" t="e">
        <f>#REF!+#REF!+#REF!</f>
        <v>#REF!</v>
      </c>
      <c r="K133" s="38" t="e">
        <f>#REF!+#REF!+#REF!</f>
        <v>#REF!</v>
      </c>
      <c r="L133" s="38" t="e">
        <f>#REF!+#REF!+#REF!</f>
        <v>#REF!</v>
      </c>
      <c r="M133" s="38" t="e">
        <f>#REF!+#REF!+#REF!</f>
        <v>#REF!</v>
      </c>
      <c r="N133" s="38" t="e">
        <f>#REF!+#REF!+#REF!</f>
        <v>#REF!</v>
      </c>
      <c r="O133" s="34"/>
    </row>
    <row r="134" spans="1:15" s="35" customFormat="1" ht="15.75" x14ac:dyDescent="0.25">
      <c r="A134" s="57"/>
      <c r="B134" s="36" t="s">
        <v>38</v>
      </c>
      <c r="C134" s="37" t="s">
        <v>171</v>
      </c>
      <c r="D134" s="38">
        <f t="shared" ref="D134:N134" si="77">D142+D153</f>
        <v>1407045604.0999999</v>
      </c>
      <c r="E134" s="38">
        <f t="shared" si="77"/>
        <v>364681500</v>
      </c>
      <c r="F134" s="38">
        <f t="shared" si="77"/>
        <v>100205300</v>
      </c>
      <c r="G134" s="38">
        <f t="shared" si="77"/>
        <v>0</v>
      </c>
      <c r="H134" s="38">
        <f t="shared" si="77"/>
        <v>464886800</v>
      </c>
      <c r="I134" s="38">
        <f t="shared" si="77"/>
        <v>1319000</v>
      </c>
      <c r="J134" s="38">
        <f t="shared" si="77"/>
        <v>0</v>
      </c>
      <c r="K134" s="38">
        <f t="shared" si="77"/>
        <v>625000</v>
      </c>
      <c r="L134" s="38">
        <f t="shared" si="77"/>
        <v>1944000</v>
      </c>
      <c r="M134" s="38">
        <f t="shared" si="77"/>
        <v>466830800</v>
      </c>
      <c r="N134" s="38">
        <f t="shared" si="77"/>
        <v>940214804.10000002</v>
      </c>
      <c r="O134" s="34"/>
    </row>
    <row r="135" spans="1:15" s="35" customFormat="1" ht="31.5" x14ac:dyDescent="0.25">
      <c r="A135" s="44" t="s">
        <v>89</v>
      </c>
      <c r="B135" s="45" t="s">
        <v>172</v>
      </c>
      <c r="C135" s="46" t="s">
        <v>173</v>
      </c>
      <c r="D135" s="47">
        <f>+D136</f>
        <v>9704000</v>
      </c>
      <c r="E135" s="47">
        <f t="shared" ref="E135:M135" si="78">+E136</f>
        <v>0</v>
      </c>
      <c r="F135" s="47">
        <f t="shared" si="78"/>
        <v>0</v>
      </c>
      <c r="G135" s="47">
        <f t="shared" si="78"/>
        <v>0</v>
      </c>
      <c r="H135" s="47">
        <f t="shared" si="78"/>
        <v>0</v>
      </c>
      <c r="I135" s="47">
        <f t="shared" si="78"/>
        <v>1319000</v>
      </c>
      <c r="J135" s="47">
        <f t="shared" si="78"/>
        <v>0</v>
      </c>
      <c r="K135" s="47">
        <f t="shared" si="78"/>
        <v>625000</v>
      </c>
      <c r="L135" s="47">
        <f t="shared" si="78"/>
        <v>1944000</v>
      </c>
      <c r="M135" s="47">
        <f t="shared" si="78"/>
        <v>1944000</v>
      </c>
      <c r="N135" s="47">
        <f t="shared" ref="N135:N202" si="79">D135-M135</f>
        <v>7760000</v>
      </c>
      <c r="O135" s="54">
        <f>J135+K135</f>
        <v>625000</v>
      </c>
    </row>
    <row r="136" spans="1:15" s="35" customFormat="1" ht="15.75" x14ac:dyDescent="0.25">
      <c r="A136" s="57"/>
      <c r="B136" s="37" t="s">
        <v>21</v>
      </c>
      <c r="C136" s="37" t="s">
        <v>22</v>
      </c>
      <c r="D136" s="38">
        <f>D138</f>
        <v>9704000</v>
      </c>
      <c r="E136" s="38">
        <f t="shared" ref="E136:M136" si="80">E138</f>
        <v>0</v>
      </c>
      <c r="F136" s="38">
        <f t="shared" si="80"/>
        <v>0</v>
      </c>
      <c r="G136" s="38">
        <f t="shared" si="80"/>
        <v>0</v>
      </c>
      <c r="H136" s="38">
        <f t="shared" si="80"/>
        <v>0</v>
      </c>
      <c r="I136" s="38">
        <f t="shared" si="80"/>
        <v>1319000</v>
      </c>
      <c r="J136" s="38">
        <f t="shared" si="80"/>
        <v>0</v>
      </c>
      <c r="K136" s="38">
        <f t="shared" si="80"/>
        <v>625000</v>
      </c>
      <c r="L136" s="38">
        <f t="shared" si="80"/>
        <v>1944000</v>
      </c>
      <c r="M136" s="38">
        <f t="shared" si="80"/>
        <v>1944000</v>
      </c>
      <c r="N136" s="38">
        <f t="shared" si="79"/>
        <v>7760000</v>
      </c>
      <c r="O136" s="34"/>
    </row>
    <row r="137" spans="1:15" s="35" customFormat="1" ht="15.75" hidden="1" customHeight="1" x14ac:dyDescent="0.25">
      <c r="A137" s="57"/>
      <c r="B137" s="37" t="s">
        <v>21</v>
      </c>
      <c r="C137" s="37"/>
      <c r="D137" s="38" t="e">
        <f>SUM(D139,D141,D146)</f>
        <v>#REF!</v>
      </c>
      <c r="E137" s="38" t="e">
        <f t="shared" ref="E137:M137" si="81">SUM(E139,E141,E146)</f>
        <v>#REF!</v>
      </c>
      <c r="F137" s="38" t="e">
        <f t="shared" si="81"/>
        <v>#REF!</v>
      </c>
      <c r="G137" s="38" t="e">
        <f t="shared" si="81"/>
        <v>#REF!</v>
      </c>
      <c r="H137" s="38" t="e">
        <f t="shared" si="81"/>
        <v>#REF!</v>
      </c>
      <c r="I137" s="38" t="e">
        <f t="shared" si="81"/>
        <v>#REF!</v>
      </c>
      <c r="J137" s="38" t="e">
        <f t="shared" si="81"/>
        <v>#REF!</v>
      </c>
      <c r="K137" s="38" t="e">
        <f t="shared" si="81"/>
        <v>#REF!</v>
      </c>
      <c r="L137" s="38" t="e">
        <f t="shared" si="81"/>
        <v>#REF!</v>
      </c>
      <c r="M137" s="38" t="e">
        <f t="shared" si="81"/>
        <v>#REF!</v>
      </c>
      <c r="N137" s="38" t="e">
        <f t="shared" si="79"/>
        <v>#REF!</v>
      </c>
      <c r="O137" s="34"/>
    </row>
    <row r="138" spans="1:15" s="35" customFormat="1" ht="15.75" x14ac:dyDescent="0.25">
      <c r="A138" s="57"/>
      <c r="B138" s="37" t="s">
        <v>28</v>
      </c>
      <c r="C138" s="37" t="s">
        <v>29</v>
      </c>
      <c r="D138" s="38">
        <f>D140</f>
        <v>9704000</v>
      </c>
      <c r="E138" s="38">
        <f t="shared" ref="E138:M138" si="82">E140</f>
        <v>0</v>
      </c>
      <c r="F138" s="38">
        <f t="shared" si="82"/>
        <v>0</v>
      </c>
      <c r="G138" s="38">
        <f t="shared" si="82"/>
        <v>0</v>
      </c>
      <c r="H138" s="38">
        <f t="shared" si="82"/>
        <v>0</v>
      </c>
      <c r="I138" s="38">
        <f t="shared" si="82"/>
        <v>1319000</v>
      </c>
      <c r="J138" s="38">
        <f t="shared" si="82"/>
        <v>0</v>
      </c>
      <c r="K138" s="38">
        <f t="shared" si="82"/>
        <v>625000</v>
      </c>
      <c r="L138" s="38">
        <f t="shared" si="82"/>
        <v>1944000</v>
      </c>
      <c r="M138" s="38">
        <f t="shared" si="82"/>
        <v>1944000</v>
      </c>
      <c r="N138" s="38">
        <f t="shared" si="79"/>
        <v>7760000</v>
      </c>
      <c r="O138" s="34"/>
    </row>
    <row r="139" spans="1:15" s="35" customFormat="1" ht="15.75" hidden="1" customHeight="1" x14ac:dyDescent="0.25">
      <c r="A139" s="57"/>
      <c r="B139" s="37" t="s">
        <v>30</v>
      </c>
      <c r="C139" s="37"/>
      <c r="D139" s="38" t="e">
        <f>SUM(#REF!,#REF!)</f>
        <v>#REF!</v>
      </c>
      <c r="E139" s="38" t="e">
        <f>SUM(#REF!,#REF!)</f>
        <v>#REF!</v>
      </c>
      <c r="F139" s="38" t="e">
        <f>SUM(#REF!,#REF!)</f>
        <v>#REF!</v>
      </c>
      <c r="G139" s="38" t="e">
        <f>SUM(#REF!,#REF!)</f>
        <v>#REF!</v>
      </c>
      <c r="H139" s="38" t="e">
        <f>SUM(#REF!,#REF!)</f>
        <v>#REF!</v>
      </c>
      <c r="I139" s="38" t="e">
        <f>SUM(#REF!,#REF!)</f>
        <v>#REF!</v>
      </c>
      <c r="J139" s="38" t="e">
        <f>SUM(#REF!,#REF!)</f>
        <v>#REF!</v>
      </c>
      <c r="K139" s="38" t="e">
        <f>SUM(#REF!,#REF!)</f>
        <v>#REF!</v>
      </c>
      <c r="L139" s="38" t="e">
        <f>SUM(#REF!,#REF!)</f>
        <v>#REF!</v>
      </c>
      <c r="M139" s="38" t="e">
        <f>SUM(#REF!,#REF!)</f>
        <v>#REF!</v>
      </c>
      <c r="N139" s="38" t="e">
        <f t="shared" si="79"/>
        <v>#REF!</v>
      </c>
      <c r="O139" s="34"/>
    </row>
    <row r="140" spans="1:15" s="35" customFormat="1" ht="15.75" x14ac:dyDescent="0.25">
      <c r="A140" s="57"/>
      <c r="B140" s="37" t="s">
        <v>67</v>
      </c>
      <c r="C140" s="37" t="s">
        <v>169</v>
      </c>
      <c r="D140" s="38">
        <f>D142</f>
        <v>9704000</v>
      </c>
      <c r="E140" s="38">
        <f t="shared" ref="E140:M140" si="83">E142</f>
        <v>0</v>
      </c>
      <c r="F140" s="38">
        <f t="shared" si="83"/>
        <v>0</v>
      </c>
      <c r="G140" s="38">
        <f t="shared" si="83"/>
        <v>0</v>
      </c>
      <c r="H140" s="38">
        <f t="shared" si="83"/>
        <v>0</v>
      </c>
      <c r="I140" s="38">
        <f t="shared" si="83"/>
        <v>1319000</v>
      </c>
      <c r="J140" s="38">
        <f t="shared" si="83"/>
        <v>0</v>
      </c>
      <c r="K140" s="38">
        <f t="shared" si="83"/>
        <v>625000</v>
      </c>
      <c r="L140" s="38">
        <f t="shared" si="83"/>
        <v>1944000</v>
      </c>
      <c r="M140" s="38">
        <f t="shared" si="83"/>
        <v>1944000</v>
      </c>
      <c r="N140" s="38">
        <f t="shared" si="79"/>
        <v>7760000</v>
      </c>
      <c r="O140" s="34"/>
    </row>
    <row r="141" spans="1:15" s="35" customFormat="1" ht="15.75" hidden="1" customHeight="1" x14ac:dyDescent="0.25">
      <c r="A141" s="57"/>
      <c r="B141" s="37" t="s">
        <v>170</v>
      </c>
      <c r="C141" s="37"/>
      <c r="D141" s="38" t="e">
        <f>#REF!+#REF!+#REF!</f>
        <v>#REF!</v>
      </c>
      <c r="E141" s="38" t="e">
        <f>#REF!+#REF!+#REF!</f>
        <v>#REF!</v>
      </c>
      <c r="F141" s="38" t="e">
        <f>#REF!+#REF!+#REF!</f>
        <v>#REF!</v>
      </c>
      <c r="G141" s="38" t="e">
        <f>#REF!+#REF!+#REF!</f>
        <v>#REF!</v>
      </c>
      <c r="H141" s="38" t="e">
        <f>#REF!+#REF!+#REF!</f>
        <v>#REF!</v>
      </c>
      <c r="I141" s="38" t="e">
        <f>#REF!+#REF!+#REF!</f>
        <v>#REF!</v>
      </c>
      <c r="J141" s="38" t="e">
        <f>#REF!+#REF!+#REF!</f>
        <v>#REF!</v>
      </c>
      <c r="K141" s="38" t="e">
        <f>#REF!+#REF!+#REF!</f>
        <v>#REF!</v>
      </c>
      <c r="L141" s="38" t="e">
        <f>#REF!+#REF!+#REF!</f>
        <v>#REF!</v>
      </c>
      <c r="M141" s="38" t="e">
        <f>#REF!+#REF!+#REF!</f>
        <v>#REF!</v>
      </c>
      <c r="N141" s="38" t="e">
        <f t="shared" si="79"/>
        <v>#REF!</v>
      </c>
      <c r="O141" s="34"/>
    </row>
    <row r="142" spans="1:15" s="35" customFormat="1" ht="15.75" x14ac:dyDescent="0.25">
      <c r="A142" s="57"/>
      <c r="B142" s="37" t="s">
        <v>69</v>
      </c>
      <c r="C142" s="37" t="s">
        <v>171</v>
      </c>
      <c r="D142" s="38">
        <f>SUM(D143:D145)</f>
        <v>9704000</v>
      </c>
      <c r="E142" s="38">
        <f t="shared" ref="E142:M142" si="84">SUM(E143:E145)</f>
        <v>0</v>
      </c>
      <c r="F142" s="38">
        <f t="shared" si="84"/>
        <v>0</v>
      </c>
      <c r="G142" s="38">
        <f t="shared" si="84"/>
        <v>0</v>
      </c>
      <c r="H142" s="38">
        <f t="shared" si="84"/>
        <v>0</v>
      </c>
      <c r="I142" s="38">
        <f t="shared" si="84"/>
        <v>1319000</v>
      </c>
      <c r="J142" s="38">
        <f t="shared" si="84"/>
        <v>0</v>
      </c>
      <c r="K142" s="38">
        <f t="shared" si="84"/>
        <v>625000</v>
      </c>
      <c r="L142" s="38">
        <f t="shared" si="84"/>
        <v>1944000</v>
      </c>
      <c r="M142" s="38">
        <f t="shared" si="84"/>
        <v>1944000</v>
      </c>
      <c r="N142" s="38">
        <f t="shared" si="79"/>
        <v>7760000</v>
      </c>
      <c r="O142" s="34"/>
    </row>
    <row r="143" spans="1:15" s="35" customFormat="1" ht="15.75" x14ac:dyDescent="0.25">
      <c r="A143" s="57"/>
      <c r="B143" s="58" t="s">
        <v>174</v>
      </c>
      <c r="C143" s="52" t="s">
        <v>175</v>
      </c>
      <c r="D143" s="53">
        <v>4650000</v>
      </c>
      <c r="E143" s="53"/>
      <c r="F143" s="53"/>
      <c r="G143" s="53"/>
      <c r="H143" s="53">
        <f>SUM(E143:G143)</f>
        <v>0</v>
      </c>
      <c r="I143" s="53">
        <v>819000</v>
      </c>
      <c r="J143" s="53"/>
      <c r="K143" s="53">
        <v>125000</v>
      </c>
      <c r="L143" s="53">
        <f>SUM(I143:K143)</f>
        <v>944000</v>
      </c>
      <c r="M143" s="53">
        <f>H143+L143</f>
        <v>944000</v>
      </c>
      <c r="N143" s="53">
        <f t="shared" si="79"/>
        <v>3706000</v>
      </c>
      <c r="O143" s="34"/>
    </row>
    <row r="144" spans="1:15" s="35" customFormat="1" ht="15.75" x14ac:dyDescent="0.25">
      <c r="A144" s="57"/>
      <c r="B144" s="58" t="s">
        <v>176</v>
      </c>
      <c r="C144" s="52" t="s">
        <v>177</v>
      </c>
      <c r="D144" s="53">
        <v>5054000</v>
      </c>
      <c r="E144" s="53"/>
      <c r="F144" s="53"/>
      <c r="G144" s="53"/>
      <c r="H144" s="53">
        <f>SUM(E144:G144)</f>
        <v>0</v>
      </c>
      <c r="I144" s="53">
        <v>500000</v>
      </c>
      <c r="J144" s="53"/>
      <c r="K144" s="53">
        <v>500000</v>
      </c>
      <c r="L144" s="53">
        <f>SUM(I144:K144)</f>
        <v>1000000</v>
      </c>
      <c r="M144" s="53">
        <f>H144+L144</f>
        <v>1000000</v>
      </c>
      <c r="N144" s="53">
        <f t="shared" si="79"/>
        <v>4054000</v>
      </c>
      <c r="O144" s="34"/>
    </row>
    <row r="145" spans="1:18" s="35" customFormat="1" ht="15.75" hidden="1" x14ac:dyDescent="0.25">
      <c r="A145" s="57"/>
      <c r="B145" s="58" t="s">
        <v>178</v>
      </c>
      <c r="C145" s="52" t="s">
        <v>179</v>
      </c>
      <c r="D145" s="53">
        <v>0</v>
      </c>
      <c r="E145" s="53"/>
      <c r="F145" s="53"/>
      <c r="G145" s="53"/>
      <c r="H145" s="53">
        <f>SUM(E145:G145)</f>
        <v>0</v>
      </c>
      <c r="I145" s="53"/>
      <c r="J145" s="53"/>
      <c r="K145" s="53"/>
      <c r="L145" s="53">
        <f>SUM(I145:K145)</f>
        <v>0</v>
      </c>
      <c r="M145" s="53">
        <f>H145+L145</f>
        <v>0</v>
      </c>
      <c r="N145" s="53">
        <f t="shared" si="79"/>
        <v>0</v>
      </c>
      <c r="O145" s="34">
        <v>2497422</v>
      </c>
    </row>
    <row r="146" spans="1:18" s="35" customFormat="1" ht="15.75" x14ac:dyDescent="0.25">
      <c r="A146" s="44" t="s">
        <v>180</v>
      </c>
      <c r="B146" s="45" t="s">
        <v>181</v>
      </c>
      <c r="C146" s="46" t="s">
        <v>182</v>
      </c>
      <c r="D146" s="47">
        <f>+D147</f>
        <v>1397341604.0999999</v>
      </c>
      <c r="E146" s="47">
        <f t="shared" ref="E146:N147" si="85">+E147</f>
        <v>364681500</v>
      </c>
      <c r="F146" s="47">
        <f t="shared" si="85"/>
        <v>100205300</v>
      </c>
      <c r="G146" s="47">
        <f t="shared" si="85"/>
        <v>0</v>
      </c>
      <c r="H146" s="47">
        <f t="shared" si="85"/>
        <v>464886800</v>
      </c>
      <c r="I146" s="47">
        <f t="shared" si="85"/>
        <v>0</v>
      </c>
      <c r="J146" s="47">
        <f t="shared" si="85"/>
        <v>0</v>
      </c>
      <c r="K146" s="47">
        <f t="shared" si="85"/>
        <v>0</v>
      </c>
      <c r="L146" s="47">
        <f t="shared" si="85"/>
        <v>0</v>
      </c>
      <c r="M146" s="47">
        <f t="shared" si="85"/>
        <v>464886800</v>
      </c>
      <c r="N146" s="59">
        <f t="shared" si="79"/>
        <v>932454804.0999999</v>
      </c>
      <c r="O146" s="54">
        <f>J146+K146</f>
        <v>0</v>
      </c>
    </row>
    <row r="147" spans="1:18" s="35" customFormat="1" ht="15.75" x14ac:dyDescent="0.25">
      <c r="A147" s="30"/>
      <c r="B147" s="37" t="s">
        <v>21</v>
      </c>
      <c r="C147" s="37" t="s">
        <v>22</v>
      </c>
      <c r="D147" s="38">
        <f>+D148</f>
        <v>1397341604.0999999</v>
      </c>
      <c r="E147" s="38">
        <f t="shared" si="85"/>
        <v>364681500</v>
      </c>
      <c r="F147" s="38">
        <f t="shared" si="85"/>
        <v>100205300</v>
      </c>
      <c r="G147" s="38">
        <f t="shared" si="85"/>
        <v>0</v>
      </c>
      <c r="H147" s="38">
        <f t="shared" si="85"/>
        <v>464886800</v>
      </c>
      <c r="I147" s="38">
        <f t="shared" si="85"/>
        <v>0</v>
      </c>
      <c r="J147" s="38">
        <f t="shared" si="85"/>
        <v>0</v>
      </c>
      <c r="K147" s="38">
        <f t="shared" si="85"/>
        <v>0</v>
      </c>
      <c r="L147" s="38">
        <f t="shared" si="85"/>
        <v>0</v>
      </c>
      <c r="M147" s="38">
        <f t="shared" si="85"/>
        <v>464886800</v>
      </c>
      <c r="N147" s="38">
        <f t="shared" si="85"/>
        <v>932454804.10000002</v>
      </c>
      <c r="O147" s="34"/>
    </row>
    <row r="148" spans="1:18" s="35" customFormat="1" ht="15.75" x14ac:dyDescent="0.25">
      <c r="A148" s="30"/>
      <c r="B148" s="37" t="s">
        <v>28</v>
      </c>
      <c r="C148" s="37" t="s">
        <v>29</v>
      </c>
      <c r="D148" s="38">
        <f>D149+D153</f>
        <v>1397341604.0999999</v>
      </c>
      <c r="E148" s="38">
        <f t="shared" ref="E148:N148" si="86">E149+E153</f>
        <v>364681500</v>
      </c>
      <c r="F148" s="38">
        <f t="shared" si="86"/>
        <v>100205300</v>
      </c>
      <c r="G148" s="38">
        <f t="shared" si="86"/>
        <v>0</v>
      </c>
      <c r="H148" s="38">
        <f t="shared" si="86"/>
        <v>464886800</v>
      </c>
      <c r="I148" s="38">
        <f t="shared" si="86"/>
        <v>0</v>
      </c>
      <c r="J148" s="38">
        <f t="shared" si="86"/>
        <v>0</v>
      </c>
      <c r="K148" s="38">
        <f t="shared" si="86"/>
        <v>0</v>
      </c>
      <c r="L148" s="38">
        <f t="shared" si="86"/>
        <v>0</v>
      </c>
      <c r="M148" s="38">
        <f t="shared" si="86"/>
        <v>464886800</v>
      </c>
      <c r="N148" s="38">
        <f t="shared" si="86"/>
        <v>932454804.10000002</v>
      </c>
      <c r="O148" s="34"/>
    </row>
    <row r="149" spans="1:18" s="35" customFormat="1" ht="15.75" hidden="1" x14ac:dyDescent="0.25">
      <c r="A149" s="30"/>
      <c r="B149" s="37" t="s">
        <v>36</v>
      </c>
      <c r="C149" s="37" t="s">
        <v>92</v>
      </c>
      <c r="D149" s="38">
        <f>D150</f>
        <v>0</v>
      </c>
      <c r="E149" s="38">
        <f t="shared" ref="E149:N149" si="87">E150</f>
        <v>0</v>
      </c>
      <c r="F149" s="38">
        <f t="shared" si="87"/>
        <v>0</v>
      </c>
      <c r="G149" s="38">
        <f t="shared" si="87"/>
        <v>0</v>
      </c>
      <c r="H149" s="38">
        <f t="shared" si="87"/>
        <v>0</v>
      </c>
      <c r="I149" s="38">
        <f t="shared" si="87"/>
        <v>0</v>
      </c>
      <c r="J149" s="38">
        <f t="shared" si="87"/>
        <v>0</v>
      </c>
      <c r="K149" s="38">
        <f t="shared" si="87"/>
        <v>0</v>
      </c>
      <c r="L149" s="38">
        <f t="shared" si="87"/>
        <v>0</v>
      </c>
      <c r="M149" s="38">
        <f t="shared" si="87"/>
        <v>0</v>
      </c>
      <c r="N149" s="38">
        <f t="shared" si="87"/>
        <v>0</v>
      </c>
      <c r="O149" s="34"/>
    </row>
    <row r="150" spans="1:18" s="35" customFormat="1" ht="15.75" hidden="1" x14ac:dyDescent="0.25">
      <c r="A150" s="30"/>
      <c r="B150" s="37" t="s">
        <v>38</v>
      </c>
      <c r="C150" s="37" t="s">
        <v>93</v>
      </c>
      <c r="D150" s="38">
        <f>D152+D151</f>
        <v>0</v>
      </c>
      <c r="E150" s="38">
        <f t="shared" ref="E150:N150" si="88">E152+E151</f>
        <v>0</v>
      </c>
      <c r="F150" s="38">
        <f t="shared" si="88"/>
        <v>0</v>
      </c>
      <c r="G150" s="38">
        <f t="shared" si="88"/>
        <v>0</v>
      </c>
      <c r="H150" s="38">
        <f t="shared" si="88"/>
        <v>0</v>
      </c>
      <c r="I150" s="38">
        <f t="shared" si="88"/>
        <v>0</v>
      </c>
      <c r="J150" s="38">
        <f t="shared" si="88"/>
        <v>0</v>
      </c>
      <c r="K150" s="38">
        <f t="shared" si="88"/>
        <v>0</v>
      </c>
      <c r="L150" s="38">
        <f t="shared" si="88"/>
        <v>0</v>
      </c>
      <c r="M150" s="38">
        <f t="shared" si="88"/>
        <v>0</v>
      </c>
      <c r="N150" s="38">
        <f t="shared" si="88"/>
        <v>0</v>
      </c>
      <c r="O150" s="34"/>
    </row>
    <row r="151" spans="1:18" s="35" customFormat="1" ht="15.75" hidden="1" x14ac:dyDescent="0.25">
      <c r="A151" s="30"/>
      <c r="B151" s="52" t="s">
        <v>53</v>
      </c>
      <c r="C151" s="52" t="s">
        <v>54</v>
      </c>
      <c r="D151" s="53">
        <v>0</v>
      </c>
      <c r="E151" s="53"/>
      <c r="F151" s="53"/>
      <c r="G151" s="53"/>
      <c r="H151" s="53">
        <f>SUM(E151:G151)</f>
        <v>0</v>
      </c>
      <c r="I151" s="53"/>
      <c r="J151" s="53"/>
      <c r="K151" s="53"/>
      <c r="L151" s="53">
        <f>SUM(I151:K151)</f>
        <v>0</v>
      </c>
      <c r="M151" s="53">
        <f>H151+L151</f>
        <v>0</v>
      </c>
      <c r="N151" s="53">
        <f>D151-M151</f>
        <v>0</v>
      </c>
      <c r="O151" s="34"/>
    </row>
    <row r="152" spans="1:18" s="35" customFormat="1" ht="15.75" hidden="1" x14ac:dyDescent="0.25">
      <c r="A152" s="30"/>
      <c r="B152" s="52" t="s">
        <v>183</v>
      </c>
      <c r="C152" s="52" t="s">
        <v>184</v>
      </c>
      <c r="D152" s="53">
        <v>0</v>
      </c>
      <c r="E152" s="53"/>
      <c r="F152" s="53"/>
      <c r="G152" s="53"/>
      <c r="H152" s="53">
        <f>SUM(E152:G152)</f>
        <v>0</v>
      </c>
      <c r="I152" s="53"/>
      <c r="J152" s="53"/>
      <c r="K152" s="53"/>
      <c r="L152" s="53">
        <f>SUM(I152:K152)</f>
        <v>0</v>
      </c>
      <c r="M152" s="53">
        <f>H152+L152</f>
        <v>0</v>
      </c>
      <c r="N152" s="53">
        <f t="shared" si="79"/>
        <v>0</v>
      </c>
      <c r="O152" s="34"/>
    </row>
    <row r="153" spans="1:18" s="35" customFormat="1" ht="15.75" x14ac:dyDescent="0.25">
      <c r="A153" s="30"/>
      <c r="B153" s="37" t="s">
        <v>67</v>
      </c>
      <c r="C153" s="37" t="s">
        <v>171</v>
      </c>
      <c r="D153" s="38">
        <f>D154+D160+D168+D164</f>
        <v>1397341604.0999999</v>
      </c>
      <c r="E153" s="38">
        <f t="shared" ref="E153:N153" si="89">E154+E160+E168+E164</f>
        <v>364681500</v>
      </c>
      <c r="F153" s="38">
        <f t="shared" si="89"/>
        <v>100205300</v>
      </c>
      <c r="G153" s="38">
        <f t="shared" si="89"/>
        <v>0</v>
      </c>
      <c r="H153" s="38">
        <f t="shared" si="89"/>
        <v>464886800</v>
      </c>
      <c r="I153" s="38">
        <f t="shared" si="89"/>
        <v>0</v>
      </c>
      <c r="J153" s="38">
        <f t="shared" si="89"/>
        <v>0</v>
      </c>
      <c r="K153" s="38">
        <f t="shared" si="89"/>
        <v>0</v>
      </c>
      <c r="L153" s="38">
        <f t="shared" si="89"/>
        <v>0</v>
      </c>
      <c r="M153" s="38">
        <f t="shared" si="89"/>
        <v>464886800</v>
      </c>
      <c r="N153" s="38">
        <f t="shared" si="89"/>
        <v>932454804.10000002</v>
      </c>
      <c r="O153" s="34"/>
    </row>
    <row r="154" spans="1:18" s="35" customFormat="1" ht="15.75" x14ac:dyDescent="0.25">
      <c r="A154" s="30"/>
      <c r="B154" s="37" t="s">
        <v>69</v>
      </c>
      <c r="C154" s="37" t="s">
        <v>70</v>
      </c>
      <c r="D154" s="38">
        <f>SUM(D155:D159)</f>
        <v>1317421604.0999999</v>
      </c>
      <c r="E154" s="38">
        <f t="shared" ref="E154:N154" si="90">SUM(E155:E159)</f>
        <v>314681500</v>
      </c>
      <c r="F154" s="38">
        <f t="shared" si="90"/>
        <v>100205300</v>
      </c>
      <c r="G154" s="38">
        <f>SUM(G155:G159)</f>
        <v>0</v>
      </c>
      <c r="H154" s="38">
        <f t="shared" si="90"/>
        <v>414886800</v>
      </c>
      <c r="I154" s="38">
        <f t="shared" si="90"/>
        <v>0</v>
      </c>
      <c r="J154" s="38">
        <f t="shared" si="90"/>
        <v>0</v>
      </c>
      <c r="K154" s="38">
        <f t="shared" si="90"/>
        <v>0</v>
      </c>
      <c r="L154" s="38">
        <f t="shared" si="90"/>
        <v>0</v>
      </c>
      <c r="M154" s="38">
        <f t="shared" si="90"/>
        <v>414886800</v>
      </c>
      <c r="N154" s="38">
        <f t="shared" si="90"/>
        <v>902534804.10000002</v>
      </c>
      <c r="O154" s="34"/>
    </row>
    <row r="155" spans="1:18" s="35" customFormat="1" ht="15.75" hidden="1" x14ac:dyDescent="0.25">
      <c r="A155" s="30"/>
      <c r="B155" s="51" t="s">
        <v>185</v>
      </c>
      <c r="C155" s="52" t="s">
        <v>186</v>
      </c>
      <c r="D155" s="53">
        <v>0</v>
      </c>
      <c r="E155" s="53"/>
      <c r="F155" s="53"/>
      <c r="G155" s="53"/>
      <c r="H155" s="53">
        <f>SUM(E155:G155)</f>
        <v>0</v>
      </c>
      <c r="I155" s="53"/>
      <c r="J155" s="53"/>
      <c r="K155" s="53"/>
      <c r="L155" s="53">
        <f>SUM(I155:K155)</f>
        <v>0</v>
      </c>
      <c r="M155" s="53">
        <f>H155+L155</f>
        <v>0</v>
      </c>
      <c r="N155" s="53">
        <f t="shared" si="79"/>
        <v>0</v>
      </c>
      <c r="O155" s="34">
        <v>4300000</v>
      </c>
      <c r="P155" s="60"/>
    </row>
    <row r="156" spans="1:18" s="35" customFormat="1" ht="15.75" x14ac:dyDescent="0.25">
      <c r="A156" s="30"/>
      <c r="B156" s="51" t="s">
        <v>187</v>
      </c>
      <c r="C156" s="52" t="s">
        <v>188</v>
      </c>
      <c r="D156" s="53">
        <v>167914344.24000001</v>
      </c>
      <c r="E156" s="53">
        <v>39946558</v>
      </c>
      <c r="F156" s="53">
        <v>12772724</v>
      </c>
      <c r="G156" s="53"/>
      <c r="H156" s="53">
        <f>E156+F156+G156</f>
        <v>52719282</v>
      </c>
      <c r="I156" s="53">
        <v>0</v>
      </c>
      <c r="J156" s="53"/>
      <c r="K156" s="53"/>
      <c r="L156" s="53">
        <f>SUM(I156:K156)</f>
        <v>0</v>
      </c>
      <c r="M156" s="53">
        <f>H156+L156</f>
        <v>52719282</v>
      </c>
      <c r="N156" s="53">
        <f t="shared" si="79"/>
        <v>115195062.24000001</v>
      </c>
      <c r="O156" s="53">
        <v>25197648</v>
      </c>
      <c r="P156" s="60"/>
      <c r="Q156" s="60"/>
      <c r="R156" s="61"/>
    </row>
    <row r="157" spans="1:18" s="35" customFormat="1" ht="15.75" x14ac:dyDescent="0.25">
      <c r="A157" s="30"/>
      <c r="B157" s="51" t="s">
        <v>189</v>
      </c>
      <c r="C157" s="52" t="s">
        <v>190</v>
      </c>
      <c r="D157" s="53">
        <v>447771584.63999999</v>
      </c>
      <c r="E157" s="53">
        <v>105500000</v>
      </c>
      <c r="F157" s="53">
        <v>34200000</v>
      </c>
      <c r="G157" s="53"/>
      <c r="H157" s="53">
        <f>E157+F157+G157</f>
        <v>139700000</v>
      </c>
      <c r="I157" s="53">
        <v>0</v>
      </c>
      <c r="J157" s="53"/>
      <c r="K157" s="53"/>
      <c r="L157" s="53">
        <f>SUM(I157:K157)</f>
        <v>0</v>
      </c>
      <c r="M157" s="53">
        <f>H157+L157</f>
        <v>139700000</v>
      </c>
      <c r="N157" s="53">
        <f t="shared" si="79"/>
        <v>308071584.63999999</v>
      </c>
      <c r="O157" s="62"/>
      <c r="P157" s="3"/>
    </row>
    <row r="158" spans="1:18" s="35" customFormat="1" ht="15.75" x14ac:dyDescent="0.25">
      <c r="A158" s="30"/>
      <c r="B158" s="51" t="s">
        <v>191</v>
      </c>
      <c r="C158" s="52" t="s">
        <v>192</v>
      </c>
      <c r="D158" s="53">
        <v>578575665.18000007</v>
      </c>
      <c r="E158" s="53">
        <v>140718400</v>
      </c>
      <c r="F158" s="53">
        <v>43785700</v>
      </c>
      <c r="G158" s="53"/>
      <c r="H158" s="53">
        <f>SUM(E158:G158)</f>
        <v>184504100</v>
      </c>
      <c r="I158" s="53"/>
      <c r="J158" s="53"/>
      <c r="K158" s="53"/>
      <c r="L158" s="53">
        <f>SUM(I158:K158)</f>
        <v>0</v>
      </c>
      <c r="M158" s="53">
        <f>H158+L158</f>
        <v>184504100</v>
      </c>
      <c r="N158" s="53">
        <f t="shared" si="79"/>
        <v>394071565.18000007</v>
      </c>
      <c r="O158" s="62"/>
      <c r="P158" s="3"/>
    </row>
    <row r="159" spans="1:18" s="35" customFormat="1" ht="15.75" x14ac:dyDescent="0.25">
      <c r="A159" s="30"/>
      <c r="B159" s="51" t="s">
        <v>193</v>
      </c>
      <c r="C159" s="52" t="s">
        <v>194</v>
      </c>
      <c r="D159" s="53">
        <v>123160010.04000001</v>
      </c>
      <c r="E159" s="53">
        <v>28516542</v>
      </c>
      <c r="F159" s="53">
        <v>9446876</v>
      </c>
      <c r="G159" s="53"/>
      <c r="H159" s="53">
        <f>SUM(E159:G159)</f>
        <v>37963418</v>
      </c>
      <c r="I159" s="53"/>
      <c r="J159" s="53"/>
      <c r="K159" s="53"/>
      <c r="L159" s="53">
        <f>SUM(I159:K159)</f>
        <v>0</v>
      </c>
      <c r="M159" s="53">
        <f>H159+L159</f>
        <v>37963418</v>
      </c>
      <c r="N159" s="53">
        <f>D159-M159</f>
        <v>85196592.040000007</v>
      </c>
      <c r="O159" s="53">
        <v>17608052</v>
      </c>
      <c r="P159" s="3"/>
    </row>
    <row r="160" spans="1:18" s="35" customFormat="1" ht="15.75" hidden="1" x14ac:dyDescent="0.25">
      <c r="A160" s="30"/>
      <c r="B160" s="37" t="s">
        <v>195</v>
      </c>
      <c r="C160" s="37" t="s">
        <v>196</v>
      </c>
      <c r="D160" s="38">
        <f>SUM(D161:D163)</f>
        <v>0</v>
      </c>
      <c r="E160" s="38">
        <f t="shared" ref="E160:N160" si="91">SUM(E161:E163)</f>
        <v>0</v>
      </c>
      <c r="F160" s="38">
        <f t="shared" si="91"/>
        <v>0</v>
      </c>
      <c r="G160" s="38">
        <f t="shared" si="91"/>
        <v>0</v>
      </c>
      <c r="H160" s="38">
        <f t="shared" si="91"/>
        <v>0</v>
      </c>
      <c r="I160" s="38">
        <f t="shared" si="91"/>
        <v>0</v>
      </c>
      <c r="J160" s="38">
        <f t="shared" si="91"/>
        <v>0</v>
      </c>
      <c r="K160" s="38">
        <f t="shared" si="91"/>
        <v>0</v>
      </c>
      <c r="L160" s="38">
        <f t="shared" si="91"/>
        <v>0</v>
      </c>
      <c r="M160" s="38">
        <f t="shared" si="91"/>
        <v>0</v>
      </c>
      <c r="N160" s="38">
        <f t="shared" si="91"/>
        <v>0</v>
      </c>
      <c r="O160" s="34"/>
      <c r="P160" s="3"/>
    </row>
    <row r="161" spans="1:16" s="35" customFormat="1" ht="15.75" hidden="1" x14ac:dyDescent="0.25">
      <c r="A161" s="30"/>
      <c r="B161" s="51" t="s">
        <v>197</v>
      </c>
      <c r="C161" s="52" t="s">
        <v>198</v>
      </c>
      <c r="D161" s="53">
        <v>0</v>
      </c>
      <c r="E161" s="53"/>
      <c r="F161" s="53"/>
      <c r="G161" s="53"/>
      <c r="H161" s="53">
        <f>SUM(E161:G161)</f>
        <v>0</v>
      </c>
      <c r="I161" s="53"/>
      <c r="J161" s="53"/>
      <c r="K161" s="53"/>
      <c r="L161" s="53">
        <f>SUM(I161:K161)</f>
        <v>0</v>
      </c>
      <c r="M161" s="53">
        <f>H161+L161</f>
        <v>0</v>
      </c>
      <c r="N161" s="53">
        <f t="shared" si="79"/>
        <v>0</v>
      </c>
      <c r="O161" s="34">
        <v>172000</v>
      </c>
      <c r="P161" s="61"/>
    </row>
    <row r="162" spans="1:16" s="35" customFormat="1" ht="15.75" hidden="1" x14ac:dyDescent="0.25">
      <c r="A162" s="30"/>
      <c r="B162" s="51" t="s">
        <v>199</v>
      </c>
      <c r="C162" s="52" t="s">
        <v>200</v>
      </c>
      <c r="D162" s="53"/>
      <c r="E162" s="53"/>
      <c r="F162" s="53"/>
      <c r="G162" s="53"/>
      <c r="H162" s="53">
        <f>SUM(E162:G162)</f>
        <v>0</v>
      </c>
      <c r="I162" s="53"/>
      <c r="J162" s="53"/>
      <c r="K162" s="53"/>
      <c r="L162" s="53">
        <f>SUM(I162:K162)</f>
        <v>0</v>
      </c>
      <c r="M162" s="53">
        <f>H162+L162</f>
        <v>0</v>
      </c>
      <c r="N162" s="53">
        <f t="shared" si="79"/>
        <v>0</v>
      </c>
      <c r="O162" s="34">
        <v>10320</v>
      </c>
      <c r="P162" s="3"/>
    </row>
    <row r="163" spans="1:16" s="35" customFormat="1" ht="15.75" hidden="1" x14ac:dyDescent="0.25">
      <c r="A163" s="30"/>
      <c r="B163" s="51" t="s">
        <v>201</v>
      </c>
      <c r="C163" s="52" t="s">
        <v>202</v>
      </c>
      <c r="D163" s="53"/>
      <c r="E163" s="53"/>
      <c r="F163" s="53"/>
      <c r="G163" s="53"/>
      <c r="H163" s="53">
        <f>SUM(E163:G163)</f>
        <v>0</v>
      </c>
      <c r="I163" s="53"/>
      <c r="J163" s="53"/>
      <c r="K163" s="53"/>
      <c r="L163" s="53">
        <f>SUM(I163:K163)</f>
        <v>0</v>
      </c>
      <c r="M163" s="53">
        <f>H163+L163</f>
        <v>0</v>
      </c>
      <c r="N163" s="53">
        <f t="shared" si="79"/>
        <v>0</v>
      </c>
      <c r="O163" s="34">
        <v>172000</v>
      </c>
      <c r="P163" s="3"/>
    </row>
    <row r="164" spans="1:16" s="35" customFormat="1" ht="15.75" x14ac:dyDescent="0.25">
      <c r="A164" s="30"/>
      <c r="B164" s="37" t="s">
        <v>203</v>
      </c>
      <c r="C164" s="37" t="s">
        <v>204</v>
      </c>
      <c r="D164" s="38">
        <f>SUM(D165:D167)</f>
        <v>4620000</v>
      </c>
      <c r="E164" s="38">
        <f t="shared" ref="E164:N164" si="92">SUM(E165:E167)</f>
        <v>0</v>
      </c>
      <c r="F164" s="38">
        <f t="shared" si="92"/>
        <v>0</v>
      </c>
      <c r="G164" s="38">
        <f t="shared" si="92"/>
        <v>0</v>
      </c>
      <c r="H164" s="38">
        <f t="shared" si="92"/>
        <v>0</v>
      </c>
      <c r="I164" s="38">
        <f t="shared" si="92"/>
        <v>0</v>
      </c>
      <c r="J164" s="38">
        <f t="shared" si="92"/>
        <v>0</v>
      </c>
      <c r="K164" s="38">
        <f t="shared" si="92"/>
        <v>0</v>
      </c>
      <c r="L164" s="38">
        <f t="shared" si="92"/>
        <v>0</v>
      </c>
      <c r="M164" s="38">
        <f t="shared" si="92"/>
        <v>0</v>
      </c>
      <c r="N164" s="38">
        <f t="shared" si="92"/>
        <v>4620000</v>
      </c>
      <c r="O164" s="34"/>
    </row>
    <row r="165" spans="1:16" s="35" customFormat="1" ht="15.75" hidden="1" x14ac:dyDescent="0.25">
      <c r="A165" s="30"/>
      <c r="B165" s="52" t="s">
        <v>205</v>
      </c>
      <c r="C165" s="52" t="s">
        <v>206</v>
      </c>
      <c r="D165" s="53"/>
      <c r="E165" s="53"/>
      <c r="F165" s="53"/>
      <c r="G165" s="53"/>
      <c r="H165" s="53">
        <f>SUM(E165:G165)</f>
        <v>0</v>
      </c>
      <c r="I165" s="53"/>
      <c r="J165" s="53"/>
      <c r="K165" s="53"/>
      <c r="L165" s="53">
        <f>SUM(I165:K165)</f>
        <v>0</v>
      </c>
      <c r="M165" s="53">
        <f>H165+L165</f>
        <v>0</v>
      </c>
      <c r="N165" s="53">
        <f>D165-M165</f>
        <v>0</v>
      </c>
      <c r="O165" s="34"/>
    </row>
    <row r="166" spans="1:16" s="35" customFormat="1" ht="15.75" x14ac:dyDescent="0.25">
      <c r="A166" s="30"/>
      <c r="B166" s="52" t="s">
        <v>207</v>
      </c>
      <c r="C166" s="52" t="s">
        <v>208</v>
      </c>
      <c r="D166" s="53">
        <v>4620000</v>
      </c>
      <c r="E166" s="53"/>
      <c r="F166" s="53"/>
      <c r="G166" s="53"/>
      <c r="H166" s="53">
        <f>SUM(E166:G166)</f>
        <v>0</v>
      </c>
      <c r="I166" s="53"/>
      <c r="J166" s="53"/>
      <c r="K166" s="53"/>
      <c r="L166" s="53">
        <f>SUM(I166:K166)</f>
        <v>0</v>
      </c>
      <c r="M166" s="53">
        <f>H166+L166</f>
        <v>0</v>
      </c>
      <c r="N166" s="53">
        <f>D166-M166</f>
        <v>4620000</v>
      </c>
      <c r="O166" s="34"/>
    </row>
    <row r="167" spans="1:16" s="35" customFormat="1" ht="15.75" hidden="1" x14ac:dyDescent="0.25">
      <c r="A167" s="30"/>
      <c r="B167" s="52" t="s">
        <v>209</v>
      </c>
      <c r="C167" s="52" t="s">
        <v>210</v>
      </c>
      <c r="D167" s="53">
        <v>0</v>
      </c>
      <c r="E167" s="53"/>
      <c r="F167" s="53"/>
      <c r="G167" s="53"/>
      <c r="H167" s="53">
        <f>SUM(E167:G167)</f>
        <v>0</v>
      </c>
      <c r="I167" s="53"/>
      <c r="J167" s="53"/>
      <c r="K167" s="53"/>
      <c r="L167" s="53">
        <f>SUM(I167:K167)</f>
        <v>0</v>
      </c>
      <c r="M167" s="53">
        <f>H167+L167</f>
        <v>0</v>
      </c>
      <c r="N167" s="53">
        <f>D167-M167</f>
        <v>0</v>
      </c>
      <c r="O167" s="34"/>
    </row>
    <row r="168" spans="1:16" s="35" customFormat="1" ht="15.75" x14ac:dyDescent="0.25">
      <c r="A168" s="30"/>
      <c r="B168" s="37" t="s">
        <v>211</v>
      </c>
      <c r="C168" s="37" t="s">
        <v>212</v>
      </c>
      <c r="D168" s="38">
        <f t="shared" ref="D168:N168" si="93">SUM(D169:D169)</f>
        <v>75300000</v>
      </c>
      <c r="E168" s="38">
        <f t="shared" si="93"/>
        <v>50000000</v>
      </c>
      <c r="F168" s="38">
        <f t="shared" si="93"/>
        <v>0</v>
      </c>
      <c r="G168" s="38">
        <f t="shared" si="93"/>
        <v>0</v>
      </c>
      <c r="H168" s="38">
        <f t="shared" si="93"/>
        <v>50000000</v>
      </c>
      <c r="I168" s="38">
        <f t="shared" si="93"/>
        <v>0</v>
      </c>
      <c r="J168" s="38">
        <f t="shared" si="93"/>
        <v>0</v>
      </c>
      <c r="K168" s="38">
        <f t="shared" si="93"/>
        <v>0</v>
      </c>
      <c r="L168" s="38">
        <f t="shared" si="93"/>
        <v>0</v>
      </c>
      <c r="M168" s="38">
        <f t="shared" si="93"/>
        <v>50000000</v>
      </c>
      <c r="N168" s="38">
        <f t="shared" si="93"/>
        <v>25300000</v>
      </c>
      <c r="O168" s="34"/>
    </row>
    <row r="169" spans="1:16" s="35" customFormat="1" ht="15.75" x14ac:dyDescent="0.25">
      <c r="A169" s="30"/>
      <c r="B169" s="52" t="s">
        <v>213</v>
      </c>
      <c r="C169" s="52" t="s">
        <v>214</v>
      </c>
      <c r="D169" s="53">
        <v>75300000</v>
      </c>
      <c r="E169" s="53">
        <v>50000000</v>
      </c>
      <c r="F169" s="53"/>
      <c r="G169" s="53"/>
      <c r="H169" s="53">
        <f>SUM(E169:G169)</f>
        <v>50000000</v>
      </c>
      <c r="I169" s="53"/>
      <c r="J169" s="53"/>
      <c r="K169" s="53"/>
      <c r="L169" s="53">
        <f>SUM(I169:K169)</f>
        <v>0</v>
      </c>
      <c r="M169" s="53">
        <f>H169+L169</f>
        <v>50000000</v>
      </c>
      <c r="N169" s="53">
        <f t="shared" si="79"/>
        <v>25300000</v>
      </c>
      <c r="O169" s="34"/>
    </row>
    <row r="170" spans="1:16" s="29" customFormat="1" ht="38.25" customHeight="1" x14ac:dyDescent="0.25">
      <c r="A170" s="39" t="s">
        <v>166</v>
      </c>
      <c r="B170" s="40" t="s">
        <v>215</v>
      </c>
      <c r="C170" s="41" t="s">
        <v>216</v>
      </c>
      <c r="D170" s="42">
        <f t="shared" ref="D170:N170" si="94">D171</f>
        <v>630969200</v>
      </c>
      <c r="E170" s="42">
        <f t="shared" si="94"/>
        <v>0</v>
      </c>
      <c r="F170" s="42">
        <f t="shared" si="94"/>
        <v>0</v>
      </c>
      <c r="G170" s="42">
        <f t="shared" si="94"/>
        <v>0</v>
      </c>
      <c r="H170" s="42">
        <f t="shared" si="94"/>
        <v>0</v>
      </c>
      <c r="I170" s="42">
        <f t="shared" si="94"/>
        <v>18507774</v>
      </c>
      <c r="J170" s="42">
        <f t="shared" si="94"/>
        <v>17009200</v>
      </c>
      <c r="K170" s="42">
        <f t="shared" si="94"/>
        <v>9131094</v>
      </c>
      <c r="L170" s="42">
        <f t="shared" si="94"/>
        <v>44648068</v>
      </c>
      <c r="M170" s="42">
        <f t="shared" si="94"/>
        <v>44648068</v>
      </c>
      <c r="N170" s="42">
        <f t="shared" si="94"/>
        <v>586321132</v>
      </c>
      <c r="O170" s="43">
        <f>D176+D189+D205</f>
        <v>630969200</v>
      </c>
    </row>
    <row r="171" spans="1:16" s="35" customFormat="1" ht="15.75" x14ac:dyDescent="0.25">
      <c r="A171" s="30"/>
      <c r="B171" s="31" t="s">
        <v>19</v>
      </c>
      <c r="C171" s="32" t="s">
        <v>20</v>
      </c>
      <c r="D171" s="33">
        <f>D172+D174</f>
        <v>630969200</v>
      </c>
      <c r="E171" s="33">
        <f t="shared" ref="E171:N171" si="95">E172+E174</f>
        <v>0</v>
      </c>
      <c r="F171" s="33">
        <f t="shared" si="95"/>
        <v>0</v>
      </c>
      <c r="G171" s="33">
        <f t="shared" si="95"/>
        <v>0</v>
      </c>
      <c r="H171" s="33">
        <f t="shared" si="95"/>
        <v>0</v>
      </c>
      <c r="I171" s="33">
        <f t="shared" si="95"/>
        <v>18507774</v>
      </c>
      <c r="J171" s="33">
        <f t="shared" si="95"/>
        <v>17009200</v>
      </c>
      <c r="K171" s="33">
        <f t="shared" si="95"/>
        <v>9131094</v>
      </c>
      <c r="L171" s="33">
        <f t="shared" si="95"/>
        <v>44648068</v>
      </c>
      <c r="M171" s="33">
        <f t="shared" si="95"/>
        <v>44648068</v>
      </c>
      <c r="N171" s="33">
        <f t="shared" si="95"/>
        <v>586321132</v>
      </c>
      <c r="O171" s="34"/>
    </row>
    <row r="172" spans="1:16" s="35" customFormat="1" ht="15.75" x14ac:dyDescent="0.25">
      <c r="A172" s="30"/>
      <c r="B172" s="36" t="s">
        <v>21</v>
      </c>
      <c r="C172" s="37" t="s">
        <v>22</v>
      </c>
      <c r="D172" s="38">
        <f>D173</f>
        <v>630969200</v>
      </c>
      <c r="E172" s="38">
        <f t="shared" ref="E172:N172" si="96">E173</f>
        <v>0</v>
      </c>
      <c r="F172" s="38">
        <f t="shared" si="96"/>
        <v>0</v>
      </c>
      <c r="G172" s="38">
        <f t="shared" si="96"/>
        <v>0</v>
      </c>
      <c r="H172" s="38">
        <f t="shared" si="96"/>
        <v>0</v>
      </c>
      <c r="I172" s="38">
        <f t="shared" si="96"/>
        <v>18507774</v>
      </c>
      <c r="J172" s="38">
        <f t="shared" si="96"/>
        <v>17009200</v>
      </c>
      <c r="K172" s="38">
        <f t="shared" si="96"/>
        <v>9131094</v>
      </c>
      <c r="L172" s="38">
        <f t="shared" si="96"/>
        <v>44648068</v>
      </c>
      <c r="M172" s="38">
        <f t="shared" si="96"/>
        <v>44648068</v>
      </c>
      <c r="N172" s="38">
        <f t="shared" si="96"/>
        <v>586321132</v>
      </c>
      <c r="O172" s="34"/>
    </row>
    <row r="173" spans="1:16" s="35" customFormat="1" ht="15.75" x14ac:dyDescent="0.25">
      <c r="A173" s="30"/>
      <c r="B173" s="36" t="s">
        <v>28</v>
      </c>
      <c r="C173" s="37" t="s">
        <v>29</v>
      </c>
      <c r="D173" s="38">
        <f t="shared" ref="D173:N173" si="97">D179+D192+D208</f>
        <v>630969200</v>
      </c>
      <c r="E173" s="38">
        <f t="shared" si="97"/>
        <v>0</v>
      </c>
      <c r="F173" s="38">
        <f t="shared" si="97"/>
        <v>0</v>
      </c>
      <c r="G173" s="38">
        <f t="shared" si="97"/>
        <v>0</v>
      </c>
      <c r="H173" s="38">
        <f t="shared" si="97"/>
        <v>0</v>
      </c>
      <c r="I173" s="38">
        <f t="shared" si="97"/>
        <v>18507774</v>
      </c>
      <c r="J173" s="38">
        <f t="shared" si="97"/>
        <v>17009200</v>
      </c>
      <c r="K173" s="38">
        <f t="shared" si="97"/>
        <v>9131094</v>
      </c>
      <c r="L173" s="38">
        <f t="shared" si="97"/>
        <v>44648068</v>
      </c>
      <c r="M173" s="38">
        <f t="shared" si="97"/>
        <v>44648068</v>
      </c>
      <c r="N173" s="38">
        <f t="shared" si="97"/>
        <v>586321132</v>
      </c>
      <c r="O173" s="34"/>
    </row>
    <row r="174" spans="1:16" s="35" customFormat="1" ht="15.75" x14ac:dyDescent="0.25">
      <c r="A174" s="30"/>
      <c r="B174" s="36" t="s">
        <v>23</v>
      </c>
      <c r="C174" s="37" t="s">
        <v>24</v>
      </c>
      <c r="D174" s="38">
        <f>D175</f>
        <v>0</v>
      </c>
      <c r="E174" s="38">
        <f t="shared" ref="E174:N174" si="98">E175</f>
        <v>0</v>
      </c>
      <c r="F174" s="38">
        <f t="shared" si="98"/>
        <v>0</v>
      </c>
      <c r="G174" s="38">
        <f t="shared" si="98"/>
        <v>0</v>
      </c>
      <c r="H174" s="38">
        <f t="shared" si="98"/>
        <v>0</v>
      </c>
      <c r="I174" s="38">
        <f t="shared" si="98"/>
        <v>0</v>
      </c>
      <c r="J174" s="38">
        <f t="shared" si="98"/>
        <v>0</v>
      </c>
      <c r="K174" s="38">
        <f t="shared" si="98"/>
        <v>0</v>
      </c>
      <c r="L174" s="38">
        <f t="shared" si="98"/>
        <v>0</v>
      </c>
      <c r="M174" s="38">
        <f t="shared" si="98"/>
        <v>0</v>
      </c>
      <c r="N174" s="38">
        <f t="shared" si="98"/>
        <v>0</v>
      </c>
      <c r="O174" s="34"/>
    </row>
    <row r="175" spans="1:16" s="35" customFormat="1" ht="15.75" x14ac:dyDescent="0.25">
      <c r="A175" s="30"/>
      <c r="B175" s="36" t="s">
        <v>86</v>
      </c>
      <c r="C175" s="37" t="s">
        <v>87</v>
      </c>
      <c r="D175" s="38">
        <f>D217</f>
        <v>0</v>
      </c>
      <c r="E175" s="38">
        <f t="shared" ref="E175:N175" si="99">E217</f>
        <v>0</v>
      </c>
      <c r="F175" s="38">
        <f t="shared" si="99"/>
        <v>0</v>
      </c>
      <c r="G175" s="38">
        <f t="shared" si="99"/>
        <v>0</v>
      </c>
      <c r="H175" s="38">
        <f t="shared" si="99"/>
        <v>0</v>
      </c>
      <c r="I175" s="38">
        <f t="shared" si="99"/>
        <v>0</v>
      </c>
      <c r="J175" s="38">
        <f t="shared" si="99"/>
        <v>0</v>
      </c>
      <c r="K175" s="38">
        <f t="shared" si="99"/>
        <v>0</v>
      </c>
      <c r="L175" s="38">
        <f t="shared" si="99"/>
        <v>0</v>
      </c>
      <c r="M175" s="38">
        <f t="shared" si="99"/>
        <v>0</v>
      </c>
      <c r="N175" s="38">
        <f t="shared" si="99"/>
        <v>0</v>
      </c>
      <c r="O175" s="34"/>
    </row>
    <row r="176" spans="1:16" s="35" customFormat="1" ht="47.25" x14ac:dyDescent="0.25">
      <c r="A176" s="44" t="s">
        <v>217</v>
      </c>
      <c r="B176" s="45" t="s">
        <v>218</v>
      </c>
      <c r="C176" s="46" t="s">
        <v>219</v>
      </c>
      <c r="D176" s="47">
        <f>+D177</f>
        <v>305425000</v>
      </c>
      <c r="E176" s="47">
        <f t="shared" ref="E176:M176" si="100">+E177</f>
        <v>0</v>
      </c>
      <c r="F176" s="47">
        <f t="shared" si="100"/>
        <v>0</v>
      </c>
      <c r="G176" s="47">
        <f t="shared" si="100"/>
        <v>0</v>
      </c>
      <c r="H176" s="47">
        <f t="shared" si="100"/>
        <v>0</v>
      </c>
      <c r="I176" s="47">
        <f t="shared" si="100"/>
        <v>18507774</v>
      </c>
      <c r="J176" s="47">
        <f t="shared" si="100"/>
        <v>15699200</v>
      </c>
      <c r="K176" s="47">
        <f t="shared" si="100"/>
        <v>9131094</v>
      </c>
      <c r="L176" s="47">
        <f t="shared" si="100"/>
        <v>43338068</v>
      </c>
      <c r="M176" s="47">
        <f t="shared" si="100"/>
        <v>43338068</v>
      </c>
      <c r="N176" s="47">
        <f t="shared" si="79"/>
        <v>262086932</v>
      </c>
      <c r="O176" s="54">
        <f>J176+K176</f>
        <v>24830294</v>
      </c>
    </row>
    <row r="177" spans="1:16" s="3" customFormat="1" ht="15.75" x14ac:dyDescent="0.25">
      <c r="A177" s="63"/>
      <c r="B177" s="31" t="s">
        <v>19</v>
      </c>
      <c r="C177" s="32" t="s">
        <v>20</v>
      </c>
      <c r="D177" s="38">
        <f>D178</f>
        <v>305425000</v>
      </c>
      <c r="E177" s="38">
        <f t="shared" ref="E177:M178" si="101">E178</f>
        <v>0</v>
      </c>
      <c r="F177" s="38">
        <f t="shared" si="101"/>
        <v>0</v>
      </c>
      <c r="G177" s="38">
        <f t="shared" si="101"/>
        <v>0</v>
      </c>
      <c r="H177" s="38">
        <f t="shared" si="101"/>
        <v>0</v>
      </c>
      <c r="I177" s="38">
        <f t="shared" si="101"/>
        <v>18507774</v>
      </c>
      <c r="J177" s="38">
        <f t="shared" si="101"/>
        <v>15699200</v>
      </c>
      <c r="K177" s="38">
        <f t="shared" si="101"/>
        <v>9131094</v>
      </c>
      <c r="L177" s="38">
        <f t="shared" si="101"/>
        <v>43338068</v>
      </c>
      <c r="M177" s="38">
        <f t="shared" si="101"/>
        <v>43338068</v>
      </c>
      <c r="N177" s="38">
        <f t="shared" si="79"/>
        <v>262086932</v>
      </c>
      <c r="O177" s="64"/>
    </row>
    <row r="178" spans="1:16" s="3" customFormat="1" ht="15.75" x14ac:dyDescent="0.25">
      <c r="A178" s="63"/>
      <c r="B178" s="36" t="s">
        <v>21</v>
      </c>
      <c r="C178" s="37" t="s">
        <v>22</v>
      </c>
      <c r="D178" s="38">
        <f>D179</f>
        <v>305425000</v>
      </c>
      <c r="E178" s="38">
        <f t="shared" si="101"/>
        <v>0</v>
      </c>
      <c r="F178" s="38">
        <f t="shared" si="101"/>
        <v>0</v>
      </c>
      <c r="G178" s="38">
        <f t="shared" si="101"/>
        <v>0</v>
      </c>
      <c r="H178" s="38">
        <f t="shared" si="101"/>
        <v>0</v>
      </c>
      <c r="I178" s="38">
        <f t="shared" si="101"/>
        <v>18507774</v>
      </c>
      <c r="J178" s="38">
        <f t="shared" si="101"/>
        <v>15699200</v>
      </c>
      <c r="K178" s="38">
        <f t="shared" si="101"/>
        <v>9131094</v>
      </c>
      <c r="L178" s="38">
        <f t="shared" si="101"/>
        <v>43338068</v>
      </c>
      <c r="M178" s="38">
        <f t="shared" si="101"/>
        <v>43338068</v>
      </c>
      <c r="N178" s="38">
        <f t="shared" si="79"/>
        <v>262086932</v>
      </c>
      <c r="O178" s="64"/>
    </row>
    <row r="179" spans="1:16" s="3" customFormat="1" ht="15.75" x14ac:dyDescent="0.25">
      <c r="A179" s="63"/>
      <c r="B179" s="36" t="s">
        <v>28</v>
      </c>
      <c r="C179" s="37" t="s">
        <v>29</v>
      </c>
      <c r="D179" s="38">
        <f>D180+D183+D186</f>
        <v>305425000</v>
      </c>
      <c r="E179" s="38">
        <f t="shared" ref="E179:M179" si="102">E180+E183+E186</f>
        <v>0</v>
      </c>
      <c r="F179" s="38">
        <f t="shared" si="102"/>
        <v>0</v>
      </c>
      <c r="G179" s="38">
        <f t="shared" si="102"/>
        <v>0</v>
      </c>
      <c r="H179" s="38">
        <f t="shared" si="102"/>
        <v>0</v>
      </c>
      <c r="I179" s="38">
        <f t="shared" si="102"/>
        <v>18507774</v>
      </c>
      <c r="J179" s="38">
        <f t="shared" si="102"/>
        <v>15699200</v>
      </c>
      <c r="K179" s="38">
        <f t="shared" si="102"/>
        <v>9131094</v>
      </c>
      <c r="L179" s="38">
        <f t="shared" si="102"/>
        <v>43338068</v>
      </c>
      <c r="M179" s="38">
        <f t="shared" si="102"/>
        <v>43338068</v>
      </c>
      <c r="N179" s="38">
        <f t="shared" si="79"/>
        <v>262086932</v>
      </c>
      <c r="O179" s="64"/>
    </row>
    <row r="180" spans="1:16" s="3" customFormat="1" ht="15.75" hidden="1" x14ac:dyDescent="0.25">
      <c r="A180" s="63"/>
      <c r="B180" s="36" t="s">
        <v>36</v>
      </c>
      <c r="C180" s="37" t="s">
        <v>92</v>
      </c>
      <c r="D180" s="38">
        <f>D181</f>
        <v>0</v>
      </c>
      <c r="E180" s="38">
        <f t="shared" ref="E180:M181" si="103">E181</f>
        <v>0</v>
      </c>
      <c r="F180" s="38">
        <f t="shared" si="103"/>
        <v>0</v>
      </c>
      <c r="G180" s="38">
        <f t="shared" si="103"/>
        <v>0</v>
      </c>
      <c r="H180" s="38">
        <f t="shared" si="103"/>
        <v>0</v>
      </c>
      <c r="I180" s="38">
        <f t="shared" si="103"/>
        <v>0</v>
      </c>
      <c r="J180" s="38">
        <f t="shared" si="103"/>
        <v>0</v>
      </c>
      <c r="K180" s="38">
        <f t="shared" si="103"/>
        <v>0</v>
      </c>
      <c r="L180" s="38">
        <f t="shared" si="103"/>
        <v>0</v>
      </c>
      <c r="M180" s="38">
        <f t="shared" si="103"/>
        <v>0</v>
      </c>
      <c r="N180" s="38">
        <f t="shared" si="79"/>
        <v>0</v>
      </c>
      <c r="O180" s="64"/>
    </row>
    <row r="181" spans="1:16" s="3" customFormat="1" ht="15.75" hidden="1" x14ac:dyDescent="0.25">
      <c r="A181" s="63"/>
      <c r="B181" s="36" t="s">
        <v>38</v>
      </c>
      <c r="C181" s="37" t="s">
        <v>93</v>
      </c>
      <c r="D181" s="38">
        <f>D182</f>
        <v>0</v>
      </c>
      <c r="E181" s="38">
        <f t="shared" si="103"/>
        <v>0</v>
      </c>
      <c r="F181" s="38">
        <f t="shared" si="103"/>
        <v>0</v>
      </c>
      <c r="G181" s="38">
        <f t="shared" si="103"/>
        <v>0</v>
      </c>
      <c r="H181" s="38">
        <f t="shared" si="103"/>
        <v>0</v>
      </c>
      <c r="I181" s="38">
        <f t="shared" si="103"/>
        <v>0</v>
      </c>
      <c r="J181" s="38">
        <f t="shared" si="103"/>
        <v>0</v>
      </c>
      <c r="K181" s="38">
        <f t="shared" si="103"/>
        <v>0</v>
      </c>
      <c r="L181" s="38">
        <f t="shared" si="103"/>
        <v>0</v>
      </c>
      <c r="M181" s="38">
        <f t="shared" si="103"/>
        <v>0</v>
      </c>
      <c r="N181" s="38">
        <f t="shared" si="79"/>
        <v>0</v>
      </c>
      <c r="O181" s="64"/>
    </row>
    <row r="182" spans="1:16" s="35" customFormat="1" ht="15.75" hidden="1" x14ac:dyDescent="0.25">
      <c r="A182" s="30"/>
      <c r="B182" s="51" t="s">
        <v>220</v>
      </c>
      <c r="C182" s="52" t="s">
        <v>221</v>
      </c>
      <c r="D182" s="53">
        <v>0</v>
      </c>
      <c r="E182" s="53"/>
      <c r="F182" s="53"/>
      <c r="G182" s="53"/>
      <c r="H182" s="53">
        <f>SUM(E182:G182)</f>
        <v>0</v>
      </c>
      <c r="I182" s="53"/>
      <c r="J182" s="53"/>
      <c r="K182" s="53"/>
      <c r="L182" s="53">
        <f>SUM(I182:K182)</f>
        <v>0</v>
      </c>
      <c r="M182" s="53">
        <f>H182+L182</f>
        <v>0</v>
      </c>
      <c r="N182" s="53">
        <f t="shared" si="79"/>
        <v>0</v>
      </c>
      <c r="O182" s="54">
        <v>22927800</v>
      </c>
    </row>
    <row r="183" spans="1:16" s="3" customFormat="1" ht="15.75" x14ac:dyDescent="0.25">
      <c r="A183" s="63"/>
      <c r="B183" s="36" t="s">
        <v>67</v>
      </c>
      <c r="C183" s="37" t="s">
        <v>169</v>
      </c>
      <c r="D183" s="38">
        <f>D184</f>
        <v>13705000</v>
      </c>
      <c r="E183" s="38">
        <f t="shared" ref="E183:M184" si="104">E184</f>
        <v>0</v>
      </c>
      <c r="F183" s="38">
        <f t="shared" si="104"/>
        <v>0</v>
      </c>
      <c r="G183" s="38">
        <f t="shared" si="104"/>
        <v>0</v>
      </c>
      <c r="H183" s="38">
        <f t="shared" si="104"/>
        <v>0</v>
      </c>
      <c r="I183" s="38">
        <f t="shared" si="104"/>
        <v>0</v>
      </c>
      <c r="J183" s="38">
        <f t="shared" si="104"/>
        <v>0</v>
      </c>
      <c r="K183" s="38">
        <f t="shared" si="104"/>
        <v>1103900</v>
      </c>
      <c r="L183" s="38">
        <f t="shared" si="104"/>
        <v>1103900</v>
      </c>
      <c r="M183" s="38">
        <f t="shared" si="104"/>
        <v>1103900</v>
      </c>
      <c r="N183" s="38">
        <f t="shared" si="79"/>
        <v>12601100</v>
      </c>
      <c r="O183" s="64"/>
    </row>
    <row r="184" spans="1:16" s="3" customFormat="1" ht="15.75" x14ac:dyDescent="0.25">
      <c r="A184" s="63"/>
      <c r="B184" s="36" t="s">
        <v>69</v>
      </c>
      <c r="C184" s="37" t="s">
        <v>171</v>
      </c>
      <c r="D184" s="38">
        <f>D185</f>
        <v>13705000</v>
      </c>
      <c r="E184" s="38">
        <f t="shared" si="104"/>
        <v>0</v>
      </c>
      <c r="F184" s="38">
        <f t="shared" si="104"/>
        <v>0</v>
      </c>
      <c r="G184" s="38">
        <f t="shared" si="104"/>
        <v>0</v>
      </c>
      <c r="H184" s="38">
        <f t="shared" si="104"/>
        <v>0</v>
      </c>
      <c r="I184" s="38">
        <f t="shared" si="104"/>
        <v>0</v>
      </c>
      <c r="J184" s="38">
        <f t="shared" si="104"/>
        <v>0</v>
      </c>
      <c r="K184" s="38">
        <f t="shared" si="104"/>
        <v>1103900</v>
      </c>
      <c r="L184" s="38">
        <f t="shared" si="104"/>
        <v>1103900</v>
      </c>
      <c r="M184" s="38">
        <f t="shared" si="104"/>
        <v>1103900</v>
      </c>
      <c r="N184" s="38">
        <f t="shared" si="79"/>
        <v>12601100</v>
      </c>
      <c r="O184" s="64"/>
    </row>
    <row r="185" spans="1:16" s="35" customFormat="1" ht="15.75" x14ac:dyDescent="0.25">
      <c r="A185" s="30"/>
      <c r="B185" s="65" t="s">
        <v>222</v>
      </c>
      <c r="C185" s="52" t="s">
        <v>223</v>
      </c>
      <c r="D185" s="53">
        <v>13705000</v>
      </c>
      <c r="E185" s="53"/>
      <c r="F185" s="53"/>
      <c r="G185" s="53"/>
      <c r="H185" s="53">
        <f>SUM(E185:G185)</f>
        <v>0</v>
      </c>
      <c r="I185" s="53"/>
      <c r="J185" s="53"/>
      <c r="K185" s="53">
        <v>1103900</v>
      </c>
      <c r="L185" s="53">
        <f>SUM(I185:K185)</f>
        <v>1103900</v>
      </c>
      <c r="M185" s="53">
        <f>H185+L185</f>
        <v>1103900</v>
      </c>
      <c r="N185" s="53">
        <f t="shared" si="79"/>
        <v>12601100</v>
      </c>
      <c r="O185" s="34"/>
    </row>
    <row r="186" spans="1:16" s="3" customFormat="1" ht="15.75" x14ac:dyDescent="0.25">
      <c r="A186" s="63"/>
      <c r="B186" s="36" t="s">
        <v>170</v>
      </c>
      <c r="C186" s="37" t="s">
        <v>224</v>
      </c>
      <c r="D186" s="38">
        <f>D187</f>
        <v>291720000</v>
      </c>
      <c r="E186" s="38">
        <f t="shared" ref="E186:M187" si="105">E187</f>
        <v>0</v>
      </c>
      <c r="F186" s="38">
        <f t="shared" si="105"/>
        <v>0</v>
      </c>
      <c r="G186" s="38">
        <f t="shared" si="105"/>
        <v>0</v>
      </c>
      <c r="H186" s="38">
        <f t="shared" si="105"/>
        <v>0</v>
      </c>
      <c r="I186" s="38">
        <f t="shared" si="105"/>
        <v>18507774</v>
      </c>
      <c r="J186" s="38">
        <f t="shared" si="105"/>
        <v>15699200</v>
      </c>
      <c r="K186" s="38">
        <f t="shared" si="105"/>
        <v>8027194</v>
      </c>
      <c r="L186" s="38">
        <f t="shared" si="105"/>
        <v>42234168</v>
      </c>
      <c r="M186" s="38">
        <f t="shared" si="105"/>
        <v>42234168</v>
      </c>
      <c r="N186" s="38">
        <f t="shared" si="79"/>
        <v>249485832</v>
      </c>
      <c r="O186" s="64"/>
    </row>
    <row r="187" spans="1:16" s="3" customFormat="1" ht="15.75" x14ac:dyDescent="0.25">
      <c r="A187" s="63"/>
      <c r="B187" s="36" t="s">
        <v>225</v>
      </c>
      <c r="C187" s="37" t="s">
        <v>226</v>
      </c>
      <c r="D187" s="38">
        <f>D188</f>
        <v>291720000</v>
      </c>
      <c r="E187" s="38">
        <f t="shared" si="105"/>
        <v>0</v>
      </c>
      <c r="F187" s="38">
        <f t="shared" si="105"/>
        <v>0</v>
      </c>
      <c r="G187" s="38">
        <f t="shared" si="105"/>
        <v>0</v>
      </c>
      <c r="H187" s="38">
        <f t="shared" si="105"/>
        <v>0</v>
      </c>
      <c r="I187" s="38">
        <f t="shared" si="105"/>
        <v>18507774</v>
      </c>
      <c r="J187" s="38">
        <f t="shared" si="105"/>
        <v>15699200</v>
      </c>
      <c r="K187" s="38">
        <f t="shared" si="105"/>
        <v>8027194</v>
      </c>
      <c r="L187" s="38">
        <f t="shared" si="105"/>
        <v>42234168</v>
      </c>
      <c r="M187" s="38">
        <f t="shared" si="105"/>
        <v>42234168</v>
      </c>
      <c r="N187" s="38">
        <f t="shared" si="79"/>
        <v>249485832</v>
      </c>
      <c r="O187" s="64"/>
    </row>
    <row r="188" spans="1:16" s="35" customFormat="1" ht="15.75" x14ac:dyDescent="0.25">
      <c r="A188" s="30"/>
      <c r="B188" s="51" t="s">
        <v>227</v>
      </c>
      <c r="C188" s="52" t="s">
        <v>228</v>
      </c>
      <c r="D188" s="53">
        <v>291720000</v>
      </c>
      <c r="E188" s="53"/>
      <c r="F188" s="53"/>
      <c r="G188" s="53"/>
      <c r="H188" s="53">
        <f>SUM(E188:G188)</f>
        <v>0</v>
      </c>
      <c r="I188" s="53">
        <v>18507774</v>
      </c>
      <c r="J188" s="53">
        <v>15699200</v>
      </c>
      <c r="K188" s="53">
        <v>8027194</v>
      </c>
      <c r="L188" s="53">
        <f>SUM(I188:K188)</f>
        <v>42234168</v>
      </c>
      <c r="M188" s="53">
        <f>H188+L188</f>
        <v>42234168</v>
      </c>
      <c r="N188" s="53">
        <f t="shared" si="79"/>
        <v>249485832</v>
      </c>
      <c r="O188" s="54">
        <f>J188+K188</f>
        <v>23726394</v>
      </c>
      <c r="P188" s="55">
        <f>O188-J188</f>
        <v>8027194</v>
      </c>
    </row>
    <row r="189" spans="1:16" s="35" customFormat="1" ht="31.5" x14ac:dyDescent="0.25">
      <c r="A189" s="44" t="s">
        <v>229</v>
      </c>
      <c r="B189" s="45" t="s">
        <v>230</v>
      </c>
      <c r="C189" s="46" t="s">
        <v>231</v>
      </c>
      <c r="D189" s="47">
        <f>+D190</f>
        <v>32095400</v>
      </c>
      <c r="E189" s="47">
        <f t="shared" ref="E189:N189" si="106">+E190</f>
        <v>0</v>
      </c>
      <c r="F189" s="47">
        <f t="shared" si="106"/>
        <v>0</v>
      </c>
      <c r="G189" s="47">
        <f t="shared" si="106"/>
        <v>0</v>
      </c>
      <c r="H189" s="47">
        <f t="shared" si="106"/>
        <v>0</v>
      </c>
      <c r="I189" s="47">
        <f t="shared" si="106"/>
        <v>0</v>
      </c>
      <c r="J189" s="47">
        <f t="shared" si="106"/>
        <v>1310000</v>
      </c>
      <c r="K189" s="47">
        <f t="shared" si="106"/>
        <v>0</v>
      </c>
      <c r="L189" s="47">
        <f t="shared" si="106"/>
        <v>1310000</v>
      </c>
      <c r="M189" s="47">
        <f t="shared" si="106"/>
        <v>1310000</v>
      </c>
      <c r="N189" s="47">
        <f t="shared" si="106"/>
        <v>30785400</v>
      </c>
      <c r="O189" s="54">
        <f>J189+K189</f>
        <v>1310000</v>
      </c>
    </row>
    <row r="190" spans="1:16" s="3" customFormat="1" ht="15.75" x14ac:dyDescent="0.25">
      <c r="A190" s="63"/>
      <c r="B190" s="31" t="s">
        <v>19</v>
      </c>
      <c r="C190" s="32" t="s">
        <v>20</v>
      </c>
      <c r="D190" s="38">
        <f>D191</f>
        <v>32095400</v>
      </c>
      <c r="E190" s="38">
        <f t="shared" ref="E190:N191" si="107">E191</f>
        <v>0</v>
      </c>
      <c r="F190" s="38">
        <f t="shared" si="107"/>
        <v>0</v>
      </c>
      <c r="G190" s="38">
        <f t="shared" si="107"/>
        <v>0</v>
      </c>
      <c r="H190" s="38">
        <f t="shared" si="107"/>
        <v>0</v>
      </c>
      <c r="I190" s="38">
        <f t="shared" si="107"/>
        <v>0</v>
      </c>
      <c r="J190" s="38">
        <f t="shared" si="107"/>
        <v>1310000</v>
      </c>
      <c r="K190" s="38">
        <f t="shared" si="107"/>
        <v>0</v>
      </c>
      <c r="L190" s="38">
        <f t="shared" si="107"/>
        <v>1310000</v>
      </c>
      <c r="M190" s="38">
        <f t="shared" si="107"/>
        <v>1310000</v>
      </c>
      <c r="N190" s="38">
        <f t="shared" si="107"/>
        <v>30785400</v>
      </c>
      <c r="O190" s="64"/>
    </row>
    <row r="191" spans="1:16" s="3" customFormat="1" ht="15.75" x14ac:dyDescent="0.25">
      <c r="A191" s="63"/>
      <c r="B191" s="36" t="s">
        <v>21</v>
      </c>
      <c r="C191" s="37" t="s">
        <v>22</v>
      </c>
      <c r="D191" s="38">
        <f>D192</f>
        <v>32095400</v>
      </c>
      <c r="E191" s="38">
        <f t="shared" si="107"/>
        <v>0</v>
      </c>
      <c r="F191" s="38">
        <f t="shared" si="107"/>
        <v>0</v>
      </c>
      <c r="G191" s="38">
        <f t="shared" si="107"/>
        <v>0</v>
      </c>
      <c r="H191" s="38">
        <f t="shared" si="107"/>
        <v>0</v>
      </c>
      <c r="I191" s="38">
        <f t="shared" si="107"/>
        <v>0</v>
      </c>
      <c r="J191" s="38">
        <f t="shared" si="107"/>
        <v>1310000</v>
      </c>
      <c r="K191" s="38">
        <f t="shared" si="107"/>
        <v>0</v>
      </c>
      <c r="L191" s="38">
        <f t="shared" si="107"/>
        <v>1310000</v>
      </c>
      <c r="M191" s="38">
        <f t="shared" si="107"/>
        <v>1310000</v>
      </c>
      <c r="N191" s="38">
        <f t="shared" si="107"/>
        <v>30785400</v>
      </c>
      <c r="O191" s="64"/>
    </row>
    <row r="192" spans="1:16" s="3" customFormat="1" ht="15.75" x14ac:dyDescent="0.25">
      <c r="A192" s="63"/>
      <c r="B192" s="36" t="s">
        <v>28</v>
      </c>
      <c r="C192" s="37" t="s">
        <v>29</v>
      </c>
      <c r="D192" s="38">
        <f>D196+D193</f>
        <v>32095400</v>
      </c>
      <c r="E192" s="38">
        <f t="shared" ref="E192:N192" si="108">E196+E193</f>
        <v>0</v>
      </c>
      <c r="F192" s="38">
        <f t="shared" si="108"/>
        <v>0</v>
      </c>
      <c r="G192" s="38">
        <f t="shared" si="108"/>
        <v>0</v>
      </c>
      <c r="H192" s="38">
        <f t="shared" si="108"/>
        <v>0</v>
      </c>
      <c r="I192" s="38">
        <f t="shared" si="108"/>
        <v>0</v>
      </c>
      <c r="J192" s="38">
        <f t="shared" si="108"/>
        <v>1310000</v>
      </c>
      <c r="K192" s="38">
        <f t="shared" si="108"/>
        <v>0</v>
      </c>
      <c r="L192" s="38">
        <f t="shared" si="108"/>
        <v>1310000</v>
      </c>
      <c r="M192" s="38">
        <f t="shared" si="108"/>
        <v>1310000</v>
      </c>
      <c r="N192" s="38">
        <f t="shared" si="108"/>
        <v>30785400</v>
      </c>
      <c r="O192" s="64"/>
    </row>
    <row r="193" spans="1:15" s="3" customFormat="1" ht="15.75" x14ac:dyDescent="0.25">
      <c r="A193" s="63"/>
      <c r="B193" s="36" t="s">
        <v>36</v>
      </c>
      <c r="C193" s="37" t="s">
        <v>92</v>
      </c>
      <c r="D193" s="38">
        <f>D194</f>
        <v>8745400</v>
      </c>
      <c r="E193" s="38">
        <f t="shared" ref="E193:N194" si="109">E194</f>
        <v>0</v>
      </c>
      <c r="F193" s="38">
        <f t="shared" si="109"/>
        <v>0</v>
      </c>
      <c r="G193" s="38">
        <f t="shared" si="109"/>
        <v>0</v>
      </c>
      <c r="H193" s="38">
        <f t="shared" si="109"/>
        <v>0</v>
      </c>
      <c r="I193" s="38">
        <f t="shared" si="109"/>
        <v>0</v>
      </c>
      <c r="J193" s="38">
        <f t="shared" si="109"/>
        <v>0</v>
      </c>
      <c r="K193" s="38">
        <f t="shared" si="109"/>
        <v>0</v>
      </c>
      <c r="L193" s="38">
        <f t="shared" si="109"/>
        <v>0</v>
      </c>
      <c r="M193" s="38">
        <f t="shared" si="109"/>
        <v>0</v>
      </c>
      <c r="N193" s="38">
        <f t="shared" si="109"/>
        <v>8745400</v>
      </c>
      <c r="O193" s="64"/>
    </row>
    <row r="194" spans="1:15" s="3" customFormat="1" ht="15.75" x14ac:dyDescent="0.25">
      <c r="A194" s="63"/>
      <c r="B194" s="36" t="s">
        <v>38</v>
      </c>
      <c r="C194" s="37" t="s">
        <v>93</v>
      </c>
      <c r="D194" s="38">
        <f>D195</f>
        <v>8745400</v>
      </c>
      <c r="E194" s="38">
        <f t="shared" si="109"/>
        <v>0</v>
      </c>
      <c r="F194" s="38">
        <f t="shared" si="109"/>
        <v>0</v>
      </c>
      <c r="G194" s="38">
        <f t="shared" si="109"/>
        <v>0</v>
      </c>
      <c r="H194" s="38">
        <f t="shared" si="109"/>
        <v>0</v>
      </c>
      <c r="I194" s="38">
        <f t="shared" si="109"/>
        <v>0</v>
      </c>
      <c r="J194" s="38">
        <f t="shared" si="109"/>
        <v>0</v>
      </c>
      <c r="K194" s="38">
        <f t="shared" si="109"/>
        <v>0</v>
      </c>
      <c r="L194" s="38">
        <f t="shared" si="109"/>
        <v>0</v>
      </c>
      <c r="M194" s="38">
        <f t="shared" si="109"/>
        <v>0</v>
      </c>
      <c r="N194" s="38">
        <f t="shared" si="109"/>
        <v>8745400</v>
      </c>
      <c r="O194" s="64"/>
    </row>
    <row r="195" spans="1:15" s="35" customFormat="1" ht="15.75" x14ac:dyDescent="0.25">
      <c r="A195" s="30"/>
      <c r="B195" s="51" t="s">
        <v>220</v>
      </c>
      <c r="C195" s="52" t="s">
        <v>221</v>
      </c>
      <c r="D195" s="53">
        <v>8745400</v>
      </c>
      <c r="E195" s="53"/>
      <c r="F195" s="53"/>
      <c r="G195" s="53"/>
      <c r="H195" s="53">
        <f>SUM(E195:G195)</f>
        <v>0</v>
      </c>
      <c r="I195" s="53"/>
      <c r="J195" s="53"/>
      <c r="K195" s="53"/>
      <c r="L195" s="53">
        <f>SUM(I195:K195)</f>
        <v>0</v>
      </c>
      <c r="M195" s="53">
        <f>H195+L195</f>
        <v>0</v>
      </c>
      <c r="N195" s="53">
        <f>D195-M195</f>
        <v>8745400</v>
      </c>
      <c r="O195" s="54"/>
    </row>
    <row r="196" spans="1:15" s="3" customFormat="1" ht="15.75" x14ac:dyDescent="0.25">
      <c r="A196" s="63"/>
      <c r="B196" s="36" t="s">
        <v>170</v>
      </c>
      <c r="C196" s="37" t="s">
        <v>224</v>
      </c>
      <c r="D196" s="38">
        <f>D197+D201</f>
        <v>23350000</v>
      </c>
      <c r="E196" s="38">
        <f t="shared" ref="E196:M196" si="110">E197+E203</f>
        <v>0</v>
      </c>
      <c r="F196" s="38">
        <f t="shared" si="110"/>
        <v>0</v>
      </c>
      <c r="G196" s="38">
        <f t="shared" si="110"/>
        <v>0</v>
      </c>
      <c r="H196" s="38">
        <f t="shared" si="110"/>
        <v>0</v>
      </c>
      <c r="I196" s="38">
        <f t="shared" si="110"/>
        <v>0</v>
      </c>
      <c r="J196" s="38">
        <f t="shared" si="110"/>
        <v>1310000</v>
      </c>
      <c r="K196" s="38">
        <f t="shared" si="110"/>
        <v>0</v>
      </c>
      <c r="L196" s="38">
        <f t="shared" si="110"/>
        <v>1310000</v>
      </c>
      <c r="M196" s="38">
        <f t="shared" si="110"/>
        <v>1310000</v>
      </c>
      <c r="N196" s="38">
        <f t="shared" si="79"/>
        <v>22040000</v>
      </c>
      <c r="O196" s="64"/>
    </row>
    <row r="197" spans="1:15" s="3" customFormat="1" ht="15.75" x14ac:dyDescent="0.25">
      <c r="A197" s="63"/>
      <c r="B197" s="36" t="s">
        <v>225</v>
      </c>
      <c r="C197" s="37" t="s">
        <v>232</v>
      </c>
      <c r="D197" s="38">
        <f>D198+D199+D200</f>
        <v>23350000</v>
      </c>
      <c r="E197" s="38">
        <f t="shared" ref="E197:M197" si="111">E198+E199+E200+E202</f>
        <v>0</v>
      </c>
      <c r="F197" s="38">
        <f t="shared" si="111"/>
        <v>0</v>
      </c>
      <c r="G197" s="38">
        <f t="shared" si="111"/>
        <v>0</v>
      </c>
      <c r="H197" s="38">
        <f t="shared" si="111"/>
        <v>0</v>
      </c>
      <c r="I197" s="38">
        <f t="shared" si="111"/>
        <v>0</v>
      </c>
      <c r="J197" s="38">
        <f t="shared" si="111"/>
        <v>1310000</v>
      </c>
      <c r="K197" s="38">
        <f t="shared" si="111"/>
        <v>0</v>
      </c>
      <c r="L197" s="38">
        <f t="shared" si="111"/>
        <v>1310000</v>
      </c>
      <c r="M197" s="38">
        <f t="shared" si="111"/>
        <v>1310000</v>
      </c>
      <c r="N197" s="38">
        <f t="shared" si="79"/>
        <v>22040000</v>
      </c>
      <c r="O197" s="64"/>
    </row>
    <row r="198" spans="1:15" s="35" customFormat="1" ht="15.75" hidden="1" x14ac:dyDescent="0.25">
      <c r="A198" s="30"/>
      <c r="B198" s="51" t="s">
        <v>233</v>
      </c>
      <c r="C198" s="52" t="s">
        <v>234</v>
      </c>
      <c r="D198" s="53">
        <v>0</v>
      </c>
      <c r="E198" s="53"/>
      <c r="F198" s="53"/>
      <c r="G198" s="53"/>
      <c r="H198" s="53">
        <f>SUM(E198:G198)</f>
        <v>0</v>
      </c>
      <c r="I198" s="53"/>
      <c r="J198" s="53"/>
      <c r="K198" s="53"/>
      <c r="L198" s="53">
        <f>SUM(I198:K198)</f>
        <v>0</v>
      </c>
      <c r="M198" s="53">
        <f>H198+L198</f>
        <v>0</v>
      </c>
      <c r="N198" s="53">
        <f t="shared" si="79"/>
        <v>0</v>
      </c>
      <c r="O198" s="34"/>
    </row>
    <row r="199" spans="1:15" s="35" customFormat="1" ht="15.75" x14ac:dyDescent="0.25">
      <c r="A199" s="30"/>
      <c r="B199" s="51" t="s">
        <v>235</v>
      </c>
      <c r="C199" s="52" t="s">
        <v>236</v>
      </c>
      <c r="D199" s="53">
        <v>9150000</v>
      </c>
      <c r="E199" s="53"/>
      <c r="F199" s="53"/>
      <c r="G199" s="53"/>
      <c r="H199" s="53">
        <f>SUM(E199:G199)</f>
        <v>0</v>
      </c>
      <c r="I199" s="53"/>
      <c r="J199" s="53">
        <v>1310000</v>
      </c>
      <c r="K199" s="53"/>
      <c r="L199" s="53">
        <f>SUM(I199:K199)</f>
        <v>1310000</v>
      </c>
      <c r="M199" s="53">
        <f>H199+L199</f>
        <v>1310000</v>
      </c>
      <c r="N199" s="53">
        <f t="shared" si="79"/>
        <v>7840000</v>
      </c>
      <c r="O199" s="34"/>
    </row>
    <row r="200" spans="1:15" s="35" customFormat="1" ht="15.75" x14ac:dyDescent="0.25">
      <c r="A200" s="30"/>
      <c r="B200" s="51" t="s">
        <v>237</v>
      </c>
      <c r="C200" s="52" t="s">
        <v>238</v>
      </c>
      <c r="D200" s="53">
        <v>14200000</v>
      </c>
      <c r="E200" s="53"/>
      <c r="F200" s="53"/>
      <c r="G200" s="53"/>
      <c r="H200" s="53">
        <f>SUM(E200:G200)</f>
        <v>0</v>
      </c>
      <c r="I200" s="53"/>
      <c r="J200" s="53"/>
      <c r="K200" s="53"/>
      <c r="L200" s="53">
        <f>SUM(I200:K200)</f>
        <v>0</v>
      </c>
      <c r="M200" s="53">
        <f>H200+L200</f>
        <v>0</v>
      </c>
      <c r="N200" s="53">
        <f t="shared" si="79"/>
        <v>14200000</v>
      </c>
      <c r="O200" s="34"/>
    </row>
    <row r="201" spans="1:15" s="3" customFormat="1" ht="15.75" hidden="1" x14ac:dyDescent="0.25">
      <c r="A201" s="63"/>
      <c r="B201" s="36" t="s">
        <v>239</v>
      </c>
      <c r="C201" s="37" t="s">
        <v>232</v>
      </c>
      <c r="D201" s="38">
        <f>D202</f>
        <v>0</v>
      </c>
      <c r="E201" s="38">
        <f t="shared" ref="E201:N201" si="112">E202</f>
        <v>0</v>
      </c>
      <c r="F201" s="38">
        <f t="shared" si="112"/>
        <v>0</v>
      </c>
      <c r="G201" s="38">
        <f t="shared" si="112"/>
        <v>0</v>
      </c>
      <c r="H201" s="38">
        <f t="shared" si="112"/>
        <v>0</v>
      </c>
      <c r="I201" s="38">
        <f t="shared" si="112"/>
        <v>0</v>
      </c>
      <c r="J201" s="38">
        <f t="shared" si="112"/>
        <v>0</v>
      </c>
      <c r="K201" s="38">
        <f t="shared" si="112"/>
        <v>0</v>
      </c>
      <c r="L201" s="38">
        <f t="shared" si="112"/>
        <v>0</v>
      </c>
      <c r="M201" s="38">
        <f t="shared" si="112"/>
        <v>0</v>
      </c>
      <c r="N201" s="38">
        <f t="shared" si="112"/>
        <v>0</v>
      </c>
      <c r="O201" s="64"/>
    </row>
    <row r="202" spans="1:15" s="35" customFormat="1" ht="15.75" hidden="1" x14ac:dyDescent="0.25">
      <c r="A202" s="30"/>
      <c r="B202" s="51" t="s">
        <v>240</v>
      </c>
      <c r="C202" s="52" t="s">
        <v>241</v>
      </c>
      <c r="D202" s="53">
        <v>0</v>
      </c>
      <c r="E202" s="53"/>
      <c r="F202" s="53"/>
      <c r="G202" s="53"/>
      <c r="H202" s="53"/>
      <c r="I202" s="53"/>
      <c r="J202" s="53"/>
      <c r="K202" s="53"/>
      <c r="L202" s="53">
        <f>SUM(I202:K202)</f>
        <v>0</v>
      </c>
      <c r="M202" s="53">
        <f>H202+L202</f>
        <v>0</v>
      </c>
      <c r="N202" s="53">
        <f t="shared" si="79"/>
        <v>0</v>
      </c>
      <c r="O202" s="34"/>
    </row>
    <row r="203" spans="1:15" s="3" customFormat="1" ht="15.75" hidden="1" customHeight="1" x14ac:dyDescent="0.25">
      <c r="A203" s="63"/>
      <c r="B203" s="36" t="s">
        <v>239</v>
      </c>
      <c r="C203" s="37" t="s">
        <v>242</v>
      </c>
      <c r="D203" s="38">
        <f>D204</f>
        <v>0</v>
      </c>
      <c r="E203" s="38">
        <f t="shared" ref="E203:M203" si="113">E204</f>
        <v>0</v>
      </c>
      <c r="F203" s="38">
        <f t="shared" si="113"/>
        <v>0</v>
      </c>
      <c r="G203" s="38">
        <f t="shared" si="113"/>
        <v>0</v>
      </c>
      <c r="H203" s="38">
        <f t="shared" si="113"/>
        <v>0</v>
      </c>
      <c r="I203" s="38">
        <f t="shared" si="113"/>
        <v>0</v>
      </c>
      <c r="J203" s="38">
        <f t="shared" si="113"/>
        <v>0</v>
      </c>
      <c r="K203" s="38">
        <f t="shared" si="113"/>
        <v>0</v>
      </c>
      <c r="L203" s="38">
        <f t="shared" si="113"/>
        <v>0</v>
      </c>
      <c r="M203" s="38">
        <f t="shared" si="113"/>
        <v>0</v>
      </c>
      <c r="N203" s="38">
        <f t="shared" ref="N203:N279" si="114">D203-M203</f>
        <v>0</v>
      </c>
      <c r="O203" s="64"/>
    </row>
    <row r="204" spans="1:15" s="35" customFormat="1" ht="15.75" hidden="1" customHeight="1" x14ac:dyDescent="0.25">
      <c r="A204" s="30"/>
      <c r="B204" s="51" t="s">
        <v>233</v>
      </c>
      <c r="C204" s="52" t="s">
        <v>243</v>
      </c>
      <c r="D204" s="53">
        <v>0</v>
      </c>
      <c r="E204" s="53"/>
      <c r="F204" s="53"/>
      <c r="G204" s="53"/>
      <c r="H204" s="53">
        <f>SUM(E204:G204)</f>
        <v>0</v>
      </c>
      <c r="I204" s="53"/>
      <c r="J204" s="53"/>
      <c r="K204" s="53"/>
      <c r="L204" s="53">
        <f>SUM(I204:K204)</f>
        <v>0</v>
      </c>
      <c r="M204" s="53">
        <f>H204+L204</f>
        <v>0</v>
      </c>
      <c r="N204" s="53">
        <f t="shared" si="114"/>
        <v>0</v>
      </c>
      <c r="O204" s="34"/>
    </row>
    <row r="205" spans="1:15" s="35" customFormat="1" ht="31.5" x14ac:dyDescent="0.25">
      <c r="A205" s="44" t="s">
        <v>244</v>
      </c>
      <c r="B205" s="45" t="s">
        <v>245</v>
      </c>
      <c r="C205" s="46" t="s">
        <v>246</v>
      </c>
      <c r="D205" s="47">
        <f>D206</f>
        <v>293448800</v>
      </c>
      <c r="E205" s="47">
        <f t="shared" ref="E205:N205" si="115">E206</f>
        <v>0</v>
      </c>
      <c r="F205" s="47">
        <f t="shared" si="115"/>
        <v>0</v>
      </c>
      <c r="G205" s="47">
        <f t="shared" si="115"/>
        <v>0</v>
      </c>
      <c r="H205" s="47">
        <f t="shared" si="115"/>
        <v>0</v>
      </c>
      <c r="I205" s="47">
        <f t="shared" si="115"/>
        <v>0</v>
      </c>
      <c r="J205" s="47">
        <f t="shared" si="115"/>
        <v>0</v>
      </c>
      <c r="K205" s="47">
        <f t="shared" si="115"/>
        <v>0</v>
      </c>
      <c r="L205" s="47">
        <f t="shared" si="115"/>
        <v>0</v>
      </c>
      <c r="M205" s="47">
        <f t="shared" si="115"/>
        <v>0</v>
      </c>
      <c r="N205" s="47">
        <f t="shared" si="115"/>
        <v>293448800</v>
      </c>
      <c r="O205" s="54">
        <f>J205+K205</f>
        <v>0</v>
      </c>
    </row>
    <row r="206" spans="1:15" s="3" customFormat="1" ht="15.75" x14ac:dyDescent="0.25">
      <c r="A206" s="63"/>
      <c r="B206" s="31" t="s">
        <v>19</v>
      </c>
      <c r="C206" s="32" t="s">
        <v>20</v>
      </c>
      <c r="D206" s="38">
        <f>D207+D216</f>
        <v>293448800</v>
      </c>
      <c r="E206" s="38">
        <f t="shared" ref="E206:N206" si="116">E207+E216</f>
        <v>0</v>
      </c>
      <c r="F206" s="38">
        <f t="shared" si="116"/>
        <v>0</v>
      </c>
      <c r="G206" s="38">
        <f t="shared" si="116"/>
        <v>0</v>
      </c>
      <c r="H206" s="38">
        <f t="shared" si="116"/>
        <v>0</v>
      </c>
      <c r="I206" s="38">
        <f t="shared" si="116"/>
        <v>0</v>
      </c>
      <c r="J206" s="38">
        <f t="shared" si="116"/>
        <v>0</v>
      </c>
      <c r="K206" s="38">
        <f t="shared" si="116"/>
        <v>0</v>
      </c>
      <c r="L206" s="38">
        <f t="shared" si="116"/>
        <v>0</v>
      </c>
      <c r="M206" s="38">
        <f t="shared" si="116"/>
        <v>0</v>
      </c>
      <c r="N206" s="38">
        <f t="shared" si="116"/>
        <v>293448800</v>
      </c>
      <c r="O206" s="64"/>
    </row>
    <row r="207" spans="1:15" s="3" customFormat="1" ht="15.75" x14ac:dyDescent="0.25">
      <c r="A207" s="63"/>
      <c r="B207" s="36" t="s">
        <v>21</v>
      </c>
      <c r="C207" s="37" t="s">
        <v>22</v>
      </c>
      <c r="D207" s="38">
        <f>D208</f>
        <v>293448800</v>
      </c>
      <c r="E207" s="38">
        <f t="shared" ref="E207:N207" si="117">E208</f>
        <v>0</v>
      </c>
      <c r="F207" s="38">
        <f t="shared" si="117"/>
        <v>0</v>
      </c>
      <c r="G207" s="38">
        <f t="shared" si="117"/>
        <v>0</v>
      </c>
      <c r="H207" s="38">
        <f t="shared" si="117"/>
        <v>0</v>
      </c>
      <c r="I207" s="38">
        <f t="shared" si="117"/>
        <v>0</v>
      </c>
      <c r="J207" s="38">
        <f t="shared" si="117"/>
        <v>0</v>
      </c>
      <c r="K207" s="38">
        <f t="shared" si="117"/>
        <v>0</v>
      </c>
      <c r="L207" s="38">
        <f t="shared" si="117"/>
        <v>0</v>
      </c>
      <c r="M207" s="38">
        <f t="shared" si="117"/>
        <v>0</v>
      </c>
      <c r="N207" s="38">
        <f t="shared" si="117"/>
        <v>293448800</v>
      </c>
      <c r="O207" s="64"/>
    </row>
    <row r="208" spans="1:15" s="3" customFormat="1" ht="15.75" x14ac:dyDescent="0.25">
      <c r="A208" s="63"/>
      <c r="B208" s="36" t="s">
        <v>28</v>
      </c>
      <c r="C208" s="37" t="s">
        <v>29</v>
      </c>
      <c r="D208" s="38">
        <f>D209+D212</f>
        <v>293448800</v>
      </c>
      <c r="E208" s="38">
        <f t="shared" ref="E208:N208" si="118">E209+E212</f>
        <v>0</v>
      </c>
      <c r="F208" s="38">
        <f t="shared" si="118"/>
        <v>0</v>
      </c>
      <c r="G208" s="38">
        <f t="shared" si="118"/>
        <v>0</v>
      </c>
      <c r="H208" s="38">
        <f t="shared" si="118"/>
        <v>0</v>
      </c>
      <c r="I208" s="38">
        <f t="shared" si="118"/>
        <v>0</v>
      </c>
      <c r="J208" s="38">
        <f t="shared" si="118"/>
        <v>0</v>
      </c>
      <c r="K208" s="38">
        <f t="shared" si="118"/>
        <v>0</v>
      </c>
      <c r="L208" s="38">
        <f t="shared" si="118"/>
        <v>0</v>
      </c>
      <c r="M208" s="38">
        <f t="shared" si="118"/>
        <v>0</v>
      </c>
      <c r="N208" s="38">
        <f t="shared" si="118"/>
        <v>293448800</v>
      </c>
      <c r="O208" s="64"/>
    </row>
    <row r="209" spans="1:15" s="3" customFormat="1" ht="15.75" x14ac:dyDescent="0.25">
      <c r="A209" s="63"/>
      <c r="B209" s="36" t="s">
        <v>67</v>
      </c>
      <c r="C209" s="37" t="s">
        <v>68</v>
      </c>
      <c r="D209" s="38">
        <f>D210</f>
        <v>40700000</v>
      </c>
      <c r="E209" s="38">
        <f t="shared" ref="E209:N210" si="119">E210</f>
        <v>0</v>
      </c>
      <c r="F209" s="38">
        <f t="shared" si="119"/>
        <v>0</v>
      </c>
      <c r="G209" s="38">
        <f t="shared" si="119"/>
        <v>0</v>
      </c>
      <c r="H209" s="38">
        <f t="shared" si="119"/>
        <v>0</v>
      </c>
      <c r="I209" s="38">
        <f t="shared" si="119"/>
        <v>0</v>
      </c>
      <c r="J209" s="38">
        <f t="shared" si="119"/>
        <v>0</v>
      </c>
      <c r="K209" s="38">
        <f t="shared" si="119"/>
        <v>0</v>
      </c>
      <c r="L209" s="38">
        <f t="shared" si="119"/>
        <v>0</v>
      </c>
      <c r="M209" s="38">
        <f t="shared" si="119"/>
        <v>0</v>
      </c>
      <c r="N209" s="38">
        <f t="shared" si="119"/>
        <v>40700000</v>
      </c>
      <c r="O209" s="64"/>
    </row>
    <row r="210" spans="1:15" s="3" customFormat="1" ht="15.75" x14ac:dyDescent="0.25">
      <c r="A210" s="63"/>
      <c r="B210" s="36" t="s">
        <v>138</v>
      </c>
      <c r="C210" s="37" t="s">
        <v>247</v>
      </c>
      <c r="D210" s="38">
        <f>D211</f>
        <v>40700000</v>
      </c>
      <c r="E210" s="38">
        <f t="shared" si="119"/>
        <v>0</v>
      </c>
      <c r="F210" s="38">
        <f t="shared" si="119"/>
        <v>0</v>
      </c>
      <c r="G210" s="38">
        <f t="shared" si="119"/>
        <v>0</v>
      </c>
      <c r="H210" s="38">
        <f t="shared" si="119"/>
        <v>0</v>
      </c>
      <c r="I210" s="38">
        <f t="shared" si="119"/>
        <v>0</v>
      </c>
      <c r="J210" s="38">
        <f t="shared" si="119"/>
        <v>0</v>
      </c>
      <c r="K210" s="38">
        <f t="shared" si="119"/>
        <v>0</v>
      </c>
      <c r="L210" s="38">
        <f t="shared" si="119"/>
        <v>0</v>
      </c>
      <c r="M210" s="38">
        <f t="shared" si="119"/>
        <v>0</v>
      </c>
      <c r="N210" s="38">
        <f t="shared" si="119"/>
        <v>40700000</v>
      </c>
      <c r="O210" s="64"/>
    </row>
    <row r="211" spans="1:15" s="35" customFormat="1" ht="15.75" x14ac:dyDescent="0.25">
      <c r="A211" s="30"/>
      <c r="B211" s="65" t="s">
        <v>248</v>
      </c>
      <c r="C211" s="52" t="s">
        <v>249</v>
      </c>
      <c r="D211" s="53">
        <v>40700000</v>
      </c>
      <c r="E211" s="53"/>
      <c r="F211" s="53"/>
      <c r="G211" s="53"/>
      <c r="H211" s="53">
        <f>SUM(E211:G211)</f>
        <v>0</v>
      </c>
      <c r="I211" s="53"/>
      <c r="J211" s="53"/>
      <c r="K211" s="53"/>
      <c r="L211" s="53">
        <f>SUM(I211:K211)</f>
        <v>0</v>
      </c>
      <c r="M211" s="53">
        <f>H211+L211</f>
        <v>0</v>
      </c>
      <c r="N211" s="53">
        <f>D211-M211</f>
        <v>40700000</v>
      </c>
      <c r="O211" s="34"/>
    </row>
    <row r="212" spans="1:15" s="3" customFormat="1" ht="15.75" x14ac:dyDescent="0.25">
      <c r="A212" s="63"/>
      <c r="B212" s="36" t="s">
        <v>170</v>
      </c>
      <c r="C212" s="37" t="s">
        <v>250</v>
      </c>
      <c r="D212" s="38">
        <f>D213</f>
        <v>252748800</v>
      </c>
      <c r="E212" s="38">
        <f t="shared" ref="E212:N212" si="120">E213</f>
        <v>0</v>
      </c>
      <c r="F212" s="38">
        <f t="shared" si="120"/>
        <v>0</v>
      </c>
      <c r="G212" s="38">
        <f t="shared" si="120"/>
        <v>0</v>
      </c>
      <c r="H212" s="38">
        <f t="shared" si="120"/>
        <v>0</v>
      </c>
      <c r="I212" s="38">
        <f t="shared" si="120"/>
        <v>0</v>
      </c>
      <c r="J212" s="38">
        <f t="shared" si="120"/>
        <v>0</v>
      </c>
      <c r="K212" s="38">
        <f t="shared" si="120"/>
        <v>0</v>
      </c>
      <c r="L212" s="38">
        <f t="shared" si="120"/>
        <v>0</v>
      </c>
      <c r="M212" s="38">
        <f t="shared" si="120"/>
        <v>0</v>
      </c>
      <c r="N212" s="38">
        <f t="shared" si="120"/>
        <v>252748800</v>
      </c>
      <c r="O212" s="64"/>
    </row>
    <row r="213" spans="1:15" s="3" customFormat="1" ht="15.75" x14ac:dyDescent="0.25">
      <c r="A213" s="63"/>
      <c r="B213" s="36" t="s">
        <v>251</v>
      </c>
      <c r="C213" s="37" t="s">
        <v>252</v>
      </c>
      <c r="D213" s="38">
        <f>SUM(D214:D215)</f>
        <v>252748800</v>
      </c>
      <c r="E213" s="38">
        <f t="shared" ref="E213:N213" si="121">SUM(E214:E215)</f>
        <v>0</v>
      </c>
      <c r="F213" s="38">
        <f t="shared" si="121"/>
        <v>0</v>
      </c>
      <c r="G213" s="38">
        <f t="shared" si="121"/>
        <v>0</v>
      </c>
      <c r="H213" s="38">
        <f t="shared" si="121"/>
        <v>0</v>
      </c>
      <c r="I213" s="38">
        <f t="shared" si="121"/>
        <v>0</v>
      </c>
      <c r="J213" s="38">
        <f t="shared" si="121"/>
        <v>0</v>
      </c>
      <c r="K213" s="38">
        <f t="shared" si="121"/>
        <v>0</v>
      </c>
      <c r="L213" s="38">
        <f t="shared" si="121"/>
        <v>0</v>
      </c>
      <c r="M213" s="38">
        <f t="shared" si="121"/>
        <v>0</v>
      </c>
      <c r="N213" s="38">
        <f t="shared" si="121"/>
        <v>252748800</v>
      </c>
      <c r="O213" s="64"/>
    </row>
    <row r="214" spans="1:15" s="35" customFormat="1" ht="15.75" x14ac:dyDescent="0.25">
      <c r="A214" s="30"/>
      <c r="B214" s="65" t="s">
        <v>253</v>
      </c>
      <c r="C214" s="52" t="s">
        <v>254</v>
      </c>
      <c r="D214" s="53">
        <v>252748800</v>
      </c>
      <c r="E214" s="53"/>
      <c r="F214" s="53"/>
      <c r="G214" s="53"/>
      <c r="H214" s="53">
        <f>SUM(E214:G214)</f>
        <v>0</v>
      </c>
      <c r="I214" s="53"/>
      <c r="J214" s="53"/>
      <c r="K214" s="53"/>
      <c r="L214" s="53">
        <f>SUM(I214:K214)</f>
        <v>0</v>
      </c>
      <c r="M214" s="53">
        <f>H214+L214</f>
        <v>0</v>
      </c>
      <c r="N214" s="53">
        <f>D214-M214</f>
        <v>252748800</v>
      </c>
      <c r="O214" s="34"/>
    </row>
    <row r="215" spans="1:15" s="35" customFormat="1" ht="15.75" hidden="1" x14ac:dyDescent="0.25">
      <c r="A215" s="30"/>
      <c r="B215" s="65" t="s">
        <v>255</v>
      </c>
      <c r="C215" s="52" t="s">
        <v>256</v>
      </c>
      <c r="D215" s="53">
        <v>0</v>
      </c>
      <c r="E215" s="53"/>
      <c r="F215" s="53"/>
      <c r="G215" s="53"/>
      <c r="H215" s="53">
        <f>SUM(E215:G215)</f>
        <v>0</v>
      </c>
      <c r="I215" s="53"/>
      <c r="J215" s="53"/>
      <c r="K215" s="53"/>
      <c r="L215" s="53">
        <f>SUM(I215:K215)</f>
        <v>0</v>
      </c>
      <c r="M215" s="53">
        <f>H215+L215</f>
        <v>0</v>
      </c>
      <c r="N215" s="53">
        <f>D215-M215</f>
        <v>0</v>
      </c>
      <c r="O215" s="34"/>
    </row>
    <row r="216" spans="1:15" s="3" customFormat="1" ht="15.75" hidden="1" x14ac:dyDescent="0.25">
      <c r="A216" s="63"/>
      <c r="B216" s="36" t="s">
        <v>157</v>
      </c>
      <c r="C216" s="37" t="s">
        <v>158</v>
      </c>
      <c r="D216" s="38">
        <f>D217</f>
        <v>0</v>
      </c>
      <c r="E216" s="38">
        <f t="shared" ref="E216:N218" si="122">E217</f>
        <v>0</v>
      </c>
      <c r="F216" s="38">
        <f t="shared" si="122"/>
        <v>0</v>
      </c>
      <c r="G216" s="38">
        <f t="shared" si="122"/>
        <v>0</v>
      </c>
      <c r="H216" s="38">
        <f t="shared" si="122"/>
        <v>0</v>
      </c>
      <c r="I216" s="38">
        <f t="shared" si="122"/>
        <v>0</v>
      </c>
      <c r="J216" s="38">
        <f t="shared" si="122"/>
        <v>0</v>
      </c>
      <c r="K216" s="38">
        <f t="shared" si="122"/>
        <v>0</v>
      </c>
      <c r="L216" s="38">
        <f t="shared" si="122"/>
        <v>0</v>
      </c>
      <c r="M216" s="38">
        <f t="shared" si="122"/>
        <v>0</v>
      </c>
      <c r="N216" s="38">
        <f t="shared" si="122"/>
        <v>0</v>
      </c>
      <c r="O216" s="64"/>
    </row>
    <row r="217" spans="1:15" s="3" customFormat="1" ht="15.75" hidden="1" x14ac:dyDescent="0.25">
      <c r="A217" s="63"/>
      <c r="B217" s="36" t="s">
        <v>86</v>
      </c>
      <c r="C217" s="37" t="s">
        <v>87</v>
      </c>
      <c r="D217" s="38">
        <f>D218</f>
        <v>0</v>
      </c>
      <c r="E217" s="38">
        <f t="shared" si="122"/>
        <v>0</v>
      </c>
      <c r="F217" s="38">
        <f t="shared" si="122"/>
        <v>0</v>
      </c>
      <c r="G217" s="38">
        <f t="shared" si="122"/>
        <v>0</v>
      </c>
      <c r="H217" s="38">
        <f t="shared" si="122"/>
        <v>0</v>
      </c>
      <c r="I217" s="38">
        <f t="shared" si="122"/>
        <v>0</v>
      </c>
      <c r="J217" s="38">
        <f t="shared" si="122"/>
        <v>0</v>
      </c>
      <c r="K217" s="38">
        <f t="shared" si="122"/>
        <v>0</v>
      </c>
      <c r="L217" s="38">
        <f t="shared" si="122"/>
        <v>0</v>
      </c>
      <c r="M217" s="38">
        <f t="shared" si="122"/>
        <v>0</v>
      </c>
      <c r="N217" s="38">
        <f t="shared" si="122"/>
        <v>0</v>
      </c>
      <c r="O217" s="64"/>
    </row>
    <row r="218" spans="1:15" s="3" customFormat="1" ht="15.75" hidden="1" x14ac:dyDescent="0.25">
      <c r="A218" s="63"/>
      <c r="B218" s="36" t="s">
        <v>143</v>
      </c>
      <c r="C218" s="37" t="s">
        <v>144</v>
      </c>
      <c r="D218" s="38">
        <f>D219</f>
        <v>0</v>
      </c>
      <c r="E218" s="38">
        <f t="shared" si="122"/>
        <v>0</v>
      </c>
      <c r="F218" s="38">
        <f t="shared" si="122"/>
        <v>0</v>
      </c>
      <c r="G218" s="38">
        <f t="shared" si="122"/>
        <v>0</v>
      </c>
      <c r="H218" s="38">
        <f t="shared" si="122"/>
        <v>0</v>
      </c>
      <c r="I218" s="38">
        <f t="shared" si="122"/>
        <v>0</v>
      </c>
      <c r="J218" s="38">
        <f t="shared" si="122"/>
        <v>0</v>
      </c>
      <c r="K218" s="38">
        <f t="shared" si="122"/>
        <v>0</v>
      </c>
      <c r="L218" s="38">
        <f t="shared" si="122"/>
        <v>0</v>
      </c>
      <c r="M218" s="38">
        <f t="shared" si="122"/>
        <v>0</v>
      </c>
      <c r="N218" s="38">
        <f t="shared" si="122"/>
        <v>0</v>
      </c>
      <c r="O218" s="64"/>
    </row>
    <row r="219" spans="1:15" s="3" customFormat="1" ht="15.75" hidden="1" x14ac:dyDescent="0.25">
      <c r="A219" s="63"/>
      <c r="B219" s="36" t="s">
        <v>145</v>
      </c>
      <c r="C219" s="37" t="s">
        <v>162</v>
      </c>
      <c r="D219" s="38">
        <f>D220</f>
        <v>0</v>
      </c>
      <c r="E219" s="38">
        <f t="shared" ref="E219:M219" si="123">SUM(E220:E220)</f>
        <v>0</v>
      </c>
      <c r="F219" s="38">
        <f t="shared" si="123"/>
        <v>0</v>
      </c>
      <c r="G219" s="38">
        <f t="shared" si="123"/>
        <v>0</v>
      </c>
      <c r="H219" s="38">
        <f t="shared" si="123"/>
        <v>0</v>
      </c>
      <c r="I219" s="38">
        <f t="shared" si="123"/>
        <v>0</v>
      </c>
      <c r="J219" s="38">
        <f t="shared" si="123"/>
        <v>0</v>
      </c>
      <c r="K219" s="38">
        <f t="shared" si="123"/>
        <v>0</v>
      </c>
      <c r="L219" s="38">
        <f t="shared" si="123"/>
        <v>0</v>
      </c>
      <c r="M219" s="38">
        <f t="shared" si="123"/>
        <v>0</v>
      </c>
      <c r="N219" s="38">
        <f t="shared" si="114"/>
        <v>0</v>
      </c>
      <c r="O219" s="64"/>
    </row>
    <row r="220" spans="1:15" s="35" customFormat="1" ht="15.75" hidden="1" x14ac:dyDescent="0.25">
      <c r="A220" s="30"/>
      <c r="B220" s="65" t="s">
        <v>146</v>
      </c>
      <c r="C220" s="52" t="s">
        <v>147</v>
      </c>
      <c r="D220" s="53">
        <v>0</v>
      </c>
      <c r="E220" s="53"/>
      <c r="F220" s="53"/>
      <c r="G220" s="53"/>
      <c r="H220" s="53">
        <f>SUM(E220:G220)</f>
        <v>0</v>
      </c>
      <c r="I220" s="53"/>
      <c r="J220" s="53"/>
      <c r="K220" s="53"/>
      <c r="L220" s="53">
        <f>SUM(I220:K220)</f>
        <v>0</v>
      </c>
      <c r="M220" s="53">
        <f>H220+L220</f>
        <v>0</v>
      </c>
      <c r="N220" s="53">
        <f t="shared" si="114"/>
        <v>0</v>
      </c>
      <c r="O220" s="34"/>
    </row>
    <row r="221" spans="1:15" s="29" customFormat="1" ht="38.25" customHeight="1" x14ac:dyDescent="0.25">
      <c r="A221" s="39" t="s">
        <v>257</v>
      </c>
      <c r="B221" s="40" t="s">
        <v>258</v>
      </c>
      <c r="C221" s="41" t="s">
        <v>259</v>
      </c>
      <c r="D221" s="42">
        <f>D222</f>
        <v>361899344</v>
      </c>
      <c r="E221" s="42">
        <f t="shared" ref="E221:N221" si="124">E222</f>
        <v>0</v>
      </c>
      <c r="F221" s="42">
        <f t="shared" si="124"/>
        <v>0</v>
      </c>
      <c r="G221" s="42">
        <f t="shared" si="124"/>
        <v>0</v>
      </c>
      <c r="H221" s="42">
        <f t="shared" si="124"/>
        <v>0</v>
      </c>
      <c r="I221" s="42">
        <f t="shared" si="124"/>
        <v>43516000</v>
      </c>
      <c r="J221" s="42">
        <f t="shared" si="124"/>
        <v>9000000</v>
      </c>
      <c r="K221" s="42">
        <f t="shared" si="124"/>
        <v>8239000</v>
      </c>
      <c r="L221" s="42">
        <f t="shared" si="124"/>
        <v>60755000</v>
      </c>
      <c r="M221" s="42">
        <f t="shared" si="124"/>
        <v>60755000</v>
      </c>
      <c r="N221" s="42">
        <f t="shared" si="124"/>
        <v>301144344</v>
      </c>
      <c r="O221" s="43">
        <f>D230+D247+D267</f>
        <v>361899344</v>
      </c>
    </row>
    <row r="222" spans="1:15" s="35" customFormat="1" ht="15.75" x14ac:dyDescent="0.25">
      <c r="A222" s="30"/>
      <c r="B222" s="31" t="s">
        <v>19</v>
      </c>
      <c r="C222" s="32" t="s">
        <v>20</v>
      </c>
      <c r="D222" s="33">
        <f>D223+D227</f>
        <v>361899344</v>
      </c>
      <c r="E222" s="33">
        <f t="shared" ref="E222:N222" si="125">E223+E227</f>
        <v>0</v>
      </c>
      <c r="F222" s="33">
        <f t="shared" si="125"/>
        <v>0</v>
      </c>
      <c r="G222" s="33">
        <f t="shared" si="125"/>
        <v>0</v>
      </c>
      <c r="H222" s="33">
        <f t="shared" si="125"/>
        <v>0</v>
      </c>
      <c r="I222" s="33">
        <f t="shared" si="125"/>
        <v>43516000</v>
      </c>
      <c r="J222" s="33">
        <f t="shared" si="125"/>
        <v>9000000</v>
      </c>
      <c r="K222" s="33">
        <f t="shared" si="125"/>
        <v>8239000</v>
      </c>
      <c r="L222" s="33">
        <f t="shared" si="125"/>
        <v>60755000</v>
      </c>
      <c r="M222" s="33">
        <f t="shared" si="125"/>
        <v>60755000</v>
      </c>
      <c r="N222" s="33">
        <f t="shared" si="125"/>
        <v>301144344</v>
      </c>
      <c r="O222" s="34"/>
    </row>
    <row r="223" spans="1:15" s="35" customFormat="1" ht="15.75" x14ac:dyDescent="0.25">
      <c r="A223" s="30"/>
      <c r="B223" s="36" t="s">
        <v>21</v>
      </c>
      <c r="C223" s="37" t="s">
        <v>22</v>
      </c>
      <c r="D223" s="38">
        <f>D225</f>
        <v>361899344</v>
      </c>
      <c r="E223" s="38">
        <f t="shared" ref="E223:N223" si="126">E225</f>
        <v>0</v>
      </c>
      <c r="F223" s="38">
        <f t="shared" si="126"/>
        <v>0</v>
      </c>
      <c r="G223" s="38">
        <f t="shared" si="126"/>
        <v>0</v>
      </c>
      <c r="H223" s="38">
        <f t="shared" si="126"/>
        <v>0</v>
      </c>
      <c r="I223" s="38">
        <f t="shared" si="126"/>
        <v>43516000</v>
      </c>
      <c r="J223" s="38">
        <f t="shared" si="126"/>
        <v>9000000</v>
      </c>
      <c r="K223" s="38">
        <f t="shared" si="126"/>
        <v>8239000</v>
      </c>
      <c r="L223" s="38">
        <f t="shared" si="126"/>
        <v>60755000</v>
      </c>
      <c r="M223" s="38">
        <f t="shared" si="126"/>
        <v>60755000</v>
      </c>
      <c r="N223" s="38">
        <f t="shared" si="126"/>
        <v>301144344</v>
      </c>
      <c r="O223" s="34"/>
    </row>
    <row r="224" spans="1:15" s="35" customFormat="1" ht="15.75" hidden="1" customHeight="1" x14ac:dyDescent="0.25">
      <c r="A224" s="30"/>
      <c r="B224" s="36" t="s">
        <v>21</v>
      </c>
      <c r="C224" s="37"/>
      <c r="D224" s="38" t="e">
        <f>SUM(D226,#REF!,D234)</f>
        <v>#REF!</v>
      </c>
      <c r="E224" s="38" t="e">
        <f>SUM(E226,#REF!,E234)</f>
        <v>#REF!</v>
      </c>
      <c r="F224" s="38" t="e">
        <f>SUM(F226,#REF!,F234)</f>
        <v>#REF!</v>
      </c>
      <c r="G224" s="38" t="e">
        <f>SUM(G226,#REF!,G234)</f>
        <v>#REF!</v>
      </c>
      <c r="H224" s="38" t="e">
        <f>SUM(H226,#REF!,H234)</f>
        <v>#REF!</v>
      </c>
      <c r="I224" s="38" t="e">
        <f>SUM(I226,#REF!,I234)</f>
        <v>#REF!</v>
      </c>
      <c r="J224" s="38" t="e">
        <f>SUM(J226,#REF!,J234)</f>
        <v>#REF!</v>
      </c>
      <c r="K224" s="38" t="e">
        <f>SUM(K226,#REF!,K234)</f>
        <v>#REF!</v>
      </c>
      <c r="L224" s="38" t="e">
        <f>SUM(L226,#REF!,L234)</f>
        <v>#REF!</v>
      </c>
      <c r="M224" s="38" t="e">
        <f>SUM(M226,#REF!,M234)</f>
        <v>#REF!</v>
      </c>
      <c r="N224" s="38" t="e">
        <f>SUM(N226,#REF!,N234)</f>
        <v>#REF!</v>
      </c>
      <c r="O224" s="34"/>
    </row>
    <row r="225" spans="1:16" s="35" customFormat="1" ht="15.75" x14ac:dyDescent="0.25">
      <c r="A225" s="30"/>
      <c r="B225" s="36" t="s">
        <v>28</v>
      </c>
      <c r="C225" s="37" t="s">
        <v>29</v>
      </c>
      <c r="D225" s="38">
        <f t="shared" ref="D225:N225" si="127">D233+D250+D270</f>
        <v>361899344</v>
      </c>
      <c r="E225" s="38">
        <f t="shared" si="127"/>
        <v>0</v>
      </c>
      <c r="F225" s="38">
        <f t="shared" si="127"/>
        <v>0</v>
      </c>
      <c r="G225" s="38">
        <f t="shared" si="127"/>
        <v>0</v>
      </c>
      <c r="H225" s="38">
        <f t="shared" si="127"/>
        <v>0</v>
      </c>
      <c r="I225" s="38">
        <f t="shared" si="127"/>
        <v>43516000</v>
      </c>
      <c r="J225" s="38">
        <f t="shared" si="127"/>
        <v>9000000</v>
      </c>
      <c r="K225" s="38">
        <f t="shared" si="127"/>
        <v>8239000</v>
      </c>
      <c r="L225" s="38">
        <f t="shared" si="127"/>
        <v>60755000</v>
      </c>
      <c r="M225" s="38">
        <f t="shared" si="127"/>
        <v>60755000</v>
      </c>
      <c r="N225" s="38">
        <f t="shared" si="127"/>
        <v>301144344</v>
      </c>
      <c r="O225" s="34"/>
    </row>
    <row r="226" spans="1:16" s="35" customFormat="1" ht="15.75" hidden="1" customHeight="1" x14ac:dyDescent="0.25">
      <c r="A226" s="30"/>
      <c r="B226" s="36" t="s">
        <v>30</v>
      </c>
      <c r="C226" s="37"/>
      <c r="D226" s="38" t="e">
        <f>SUM(D329,#REF!)</f>
        <v>#REF!</v>
      </c>
      <c r="E226" s="38" t="e">
        <f>SUM(E329,#REF!)</f>
        <v>#REF!</v>
      </c>
      <c r="F226" s="38" t="e">
        <f>SUM(F329,#REF!)</f>
        <v>#REF!</v>
      </c>
      <c r="G226" s="38" t="e">
        <f>SUM(G329,#REF!)</f>
        <v>#REF!</v>
      </c>
      <c r="H226" s="38" t="e">
        <f>SUM(H329,#REF!)</f>
        <v>#REF!</v>
      </c>
      <c r="I226" s="38" t="e">
        <f>SUM(I329,#REF!)</f>
        <v>#REF!</v>
      </c>
      <c r="J226" s="38" t="e">
        <f>SUM(J329,#REF!)</f>
        <v>#REF!</v>
      </c>
      <c r="K226" s="38" t="e">
        <f>SUM(K329,#REF!)</f>
        <v>#REF!</v>
      </c>
      <c r="L226" s="38" t="e">
        <f>SUM(L329,#REF!)</f>
        <v>#REF!</v>
      </c>
      <c r="M226" s="38" t="e">
        <f>SUM(M329,#REF!)</f>
        <v>#REF!</v>
      </c>
      <c r="N226" s="38" t="e">
        <f t="shared" si="114"/>
        <v>#REF!</v>
      </c>
      <c r="O226" s="34"/>
    </row>
    <row r="227" spans="1:16" s="35" customFormat="1" ht="15.75" hidden="1" x14ac:dyDescent="0.25">
      <c r="A227" s="30"/>
      <c r="B227" s="36" t="s">
        <v>157</v>
      </c>
      <c r="C227" s="37" t="s">
        <v>24</v>
      </c>
      <c r="D227" s="38">
        <f>D229</f>
        <v>0</v>
      </c>
      <c r="E227" s="38">
        <f t="shared" ref="E227:M227" si="128">E229</f>
        <v>0</v>
      </c>
      <c r="F227" s="38">
        <f t="shared" si="128"/>
        <v>0</v>
      </c>
      <c r="G227" s="38">
        <f t="shared" si="128"/>
        <v>0</v>
      </c>
      <c r="H227" s="38">
        <f t="shared" si="128"/>
        <v>0</v>
      </c>
      <c r="I227" s="38">
        <f t="shared" si="128"/>
        <v>0</v>
      </c>
      <c r="J227" s="38">
        <f t="shared" si="128"/>
        <v>0</v>
      </c>
      <c r="K227" s="38">
        <f t="shared" si="128"/>
        <v>0</v>
      </c>
      <c r="L227" s="38">
        <f t="shared" si="128"/>
        <v>0</v>
      </c>
      <c r="M227" s="38">
        <f t="shared" si="128"/>
        <v>0</v>
      </c>
      <c r="N227" s="38">
        <f t="shared" si="114"/>
        <v>0</v>
      </c>
      <c r="O227" s="34"/>
    </row>
    <row r="228" spans="1:16" s="35" customFormat="1" ht="15.75" hidden="1" customHeight="1" x14ac:dyDescent="0.25">
      <c r="A228" s="30"/>
      <c r="B228" s="36" t="s">
        <v>21</v>
      </c>
      <c r="C228" s="37"/>
      <c r="D228" s="38" t="e">
        <f>SUM(D230,D232,#REF!)</f>
        <v>#REF!</v>
      </c>
      <c r="E228" s="38" t="e">
        <f>SUM(E230,E232,#REF!)</f>
        <v>#REF!</v>
      </c>
      <c r="F228" s="38" t="e">
        <f>SUM(F230,F232,#REF!)</f>
        <v>#REF!</v>
      </c>
      <c r="G228" s="38" t="e">
        <f>SUM(G230,G232,#REF!)</f>
        <v>#REF!</v>
      </c>
      <c r="H228" s="38" t="e">
        <f>SUM(H230,H232,#REF!)</f>
        <v>#REF!</v>
      </c>
      <c r="I228" s="38" t="e">
        <f>SUM(I230,I232,#REF!)</f>
        <v>#REF!</v>
      </c>
      <c r="J228" s="38" t="e">
        <f>SUM(J230,J232,#REF!)</f>
        <v>#REF!</v>
      </c>
      <c r="K228" s="38" t="e">
        <f>SUM(K230,K232,#REF!)</f>
        <v>#REF!</v>
      </c>
      <c r="L228" s="38" t="e">
        <f>SUM(L230,L232,#REF!)</f>
        <v>#REF!</v>
      </c>
      <c r="M228" s="38" t="e">
        <f>SUM(M230,M232,#REF!)</f>
        <v>#REF!</v>
      </c>
      <c r="N228" s="38" t="e">
        <f t="shared" si="114"/>
        <v>#REF!</v>
      </c>
      <c r="O228" s="34"/>
    </row>
    <row r="229" spans="1:16" s="35" customFormat="1" ht="15.75" hidden="1" x14ac:dyDescent="0.25">
      <c r="A229" s="30"/>
      <c r="B229" s="36" t="s">
        <v>84</v>
      </c>
      <c r="C229" s="37" t="s">
        <v>29</v>
      </c>
      <c r="D229" s="38">
        <v>0</v>
      </c>
      <c r="E229" s="38">
        <v>0</v>
      </c>
      <c r="F229" s="38">
        <v>0</v>
      </c>
      <c r="G229" s="38">
        <v>0</v>
      </c>
      <c r="H229" s="53">
        <f>SUM(E229:G229)</f>
        <v>0</v>
      </c>
      <c r="I229" s="38"/>
      <c r="J229" s="38"/>
      <c r="K229" s="38"/>
      <c r="L229" s="53">
        <f>SUM(I229:K229)</f>
        <v>0</v>
      </c>
      <c r="M229" s="53">
        <f>H229+L229</f>
        <v>0</v>
      </c>
      <c r="N229" s="53">
        <f t="shared" si="114"/>
        <v>0</v>
      </c>
      <c r="O229" s="34"/>
    </row>
    <row r="230" spans="1:16" s="35" customFormat="1" ht="31.5" hidden="1" x14ac:dyDescent="0.25">
      <c r="A230" s="44" t="s">
        <v>260</v>
      </c>
      <c r="B230" s="45" t="s">
        <v>261</v>
      </c>
      <c r="C230" s="46" t="s">
        <v>262</v>
      </c>
      <c r="D230" s="47">
        <f>+D231</f>
        <v>0</v>
      </c>
      <c r="E230" s="47">
        <f t="shared" ref="E230:M230" si="129">+E231</f>
        <v>0</v>
      </c>
      <c r="F230" s="47">
        <f t="shared" si="129"/>
        <v>0</v>
      </c>
      <c r="G230" s="47">
        <f t="shared" si="129"/>
        <v>0</v>
      </c>
      <c r="H230" s="47">
        <f t="shared" si="129"/>
        <v>0</v>
      </c>
      <c r="I230" s="47">
        <f t="shared" si="129"/>
        <v>0</v>
      </c>
      <c r="J230" s="47">
        <f t="shared" si="129"/>
        <v>0</v>
      </c>
      <c r="K230" s="47">
        <f t="shared" si="129"/>
        <v>0</v>
      </c>
      <c r="L230" s="47">
        <f t="shared" si="129"/>
        <v>0</v>
      </c>
      <c r="M230" s="47">
        <f t="shared" si="129"/>
        <v>0</v>
      </c>
      <c r="N230" s="47">
        <f t="shared" si="114"/>
        <v>0</v>
      </c>
      <c r="O230" s="54">
        <f>J230+K230</f>
        <v>0</v>
      </c>
    </row>
    <row r="231" spans="1:16" s="3" customFormat="1" ht="15.75" hidden="1" x14ac:dyDescent="0.25">
      <c r="A231" s="63"/>
      <c r="B231" s="31" t="s">
        <v>19</v>
      </c>
      <c r="C231" s="32" t="s">
        <v>20</v>
      </c>
      <c r="D231" s="38">
        <f>D232</f>
        <v>0</v>
      </c>
      <c r="E231" s="38">
        <f t="shared" ref="E231:M232" si="130">E232</f>
        <v>0</v>
      </c>
      <c r="F231" s="38">
        <f t="shared" si="130"/>
        <v>0</v>
      </c>
      <c r="G231" s="38">
        <f t="shared" si="130"/>
        <v>0</v>
      </c>
      <c r="H231" s="38">
        <f t="shared" si="130"/>
        <v>0</v>
      </c>
      <c r="I231" s="38">
        <f t="shared" si="130"/>
        <v>0</v>
      </c>
      <c r="J231" s="38">
        <f t="shared" si="130"/>
        <v>0</v>
      </c>
      <c r="K231" s="38">
        <f t="shared" si="130"/>
        <v>0</v>
      </c>
      <c r="L231" s="38">
        <f t="shared" si="130"/>
        <v>0</v>
      </c>
      <c r="M231" s="38">
        <f t="shared" si="130"/>
        <v>0</v>
      </c>
      <c r="N231" s="38">
        <f t="shared" si="114"/>
        <v>0</v>
      </c>
      <c r="O231" s="64"/>
    </row>
    <row r="232" spans="1:16" s="3" customFormat="1" ht="15.75" hidden="1" x14ac:dyDescent="0.25">
      <c r="A232" s="63"/>
      <c r="B232" s="36" t="s">
        <v>21</v>
      </c>
      <c r="C232" s="37" t="s">
        <v>22</v>
      </c>
      <c r="D232" s="38">
        <f>D233</f>
        <v>0</v>
      </c>
      <c r="E232" s="38">
        <f t="shared" si="130"/>
        <v>0</v>
      </c>
      <c r="F232" s="38">
        <f t="shared" si="130"/>
        <v>0</v>
      </c>
      <c r="G232" s="38">
        <f t="shared" si="130"/>
        <v>0</v>
      </c>
      <c r="H232" s="38">
        <f t="shared" si="130"/>
        <v>0</v>
      </c>
      <c r="I232" s="38">
        <f t="shared" si="130"/>
        <v>0</v>
      </c>
      <c r="J232" s="38">
        <f t="shared" si="130"/>
        <v>0</v>
      </c>
      <c r="K232" s="38">
        <f t="shared" si="130"/>
        <v>0</v>
      </c>
      <c r="L232" s="38">
        <f t="shared" si="130"/>
        <v>0</v>
      </c>
      <c r="M232" s="38">
        <f t="shared" si="130"/>
        <v>0</v>
      </c>
      <c r="N232" s="38">
        <f t="shared" si="114"/>
        <v>0</v>
      </c>
      <c r="O232" s="64"/>
    </row>
    <row r="233" spans="1:16" s="3" customFormat="1" ht="15.75" hidden="1" x14ac:dyDescent="0.25">
      <c r="A233" s="63"/>
      <c r="B233" s="36" t="s">
        <v>28</v>
      </c>
      <c r="C233" s="37" t="s">
        <v>29</v>
      </c>
      <c r="D233" s="38">
        <f>D234+D240+D244</f>
        <v>0</v>
      </c>
      <c r="E233" s="38">
        <f t="shared" ref="E233:N233" si="131">E234+E240+E244</f>
        <v>0</v>
      </c>
      <c r="F233" s="38">
        <f t="shared" si="131"/>
        <v>0</v>
      </c>
      <c r="G233" s="38">
        <f t="shared" si="131"/>
        <v>0</v>
      </c>
      <c r="H233" s="38">
        <f t="shared" si="131"/>
        <v>0</v>
      </c>
      <c r="I233" s="38">
        <f t="shared" si="131"/>
        <v>0</v>
      </c>
      <c r="J233" s="38">
        <f t="shared" si="131"/>
        <v>0</v>
      </c>
      <c r="K233" s="38">
        <f t="shared" si="131"/>
        <v>0</v>
      </c>
      <c r="L233" s="38">
        <f t="shared" si="131"/>
        <v>0</v>
      </c>
      <c r="M233" s="38">
        <f t="shared" si="131"/>
        <v>0</v>
      </c>
      <c r="N233" s="38">
        <f t="shared" si="131"/>
        <v>0</v>
      </c>
      <c r="O233" s="64"/>
    </row>
    <row r="234" spans="1:16" s="3" customFormat="1" ht="15.75" hidden="1" x14ac:dyDescent="0.25">
      <c r="A234" s="63"/>
      <c r="B234" s="36" t="s">
        <v>36</v>
      </c>
      <c r="C234" s="37" t="s">
        <v>92</v>
      </c>
      <c r="D234" s="38">
        <f>D235</f>
        <v>0</v>
      </c>
      <c r="E234" s="38">
        <f t="shared" ref="E234:M234" si="132">E235</f>
        <v>0</v>
      </c>
      <c r="F234" s="38">
        <f t="shared" si="132"/>
        <v>0</v>
      </c>
      <c r="G234" s="38">
        <f t="shared" si="132"/>
        <v>0</v>
      </c>
      <c r="H234" s="38">
        <f t="shared" si="132"/>
        <v>0</v>
      </c>
      <c r="I234" s="38">
        <f t="shared" si="132"/>
        <v>0</v>
      </c>
      <c r="J234" s="38">
        <f t="shared" si="132"/>
        <v>0</v>
      </c>
      <c r="K234" s="38">
        <f t="shared" si="132"/>
        <v>0</v>
      </c>
      <c r="L234" s="38">
        <f t="shared" si="132"/>
        <v>0</v>
      </c>
      <c r="M234" s="38">
        <f t="shared" si="132"/>
        <v>0</v>
      </c>
      <c r="N234" s="38">
        <f t="shared" si="114"/>
        <v>0</v>
      </c>
      <c r="O234" s="64"/>
    </row>
    <row r="235" spans="1:16" s="3" customFormat="1" ht="15.75" hidden="1" x14ac:dyDescent="0.25">
      <c r="A235" s="63"/>
      <c r="B235" s="36" t="s">
        <v>38</v>
      </c>
      <c r="C235" s="37" t="s">
        <v>263</v>
      </c>
      <c r="D235" s="38">
        <f>D236+D237+D238+D239</f>
        <v>0</v>
      </c>
      <c r="E235" s="38">
        <f t="shared" ref="E235:N235" si="133">E236+E237+E238+E239</f>
        <v>0</v>
      </c>
      <c r="F235" s="38">
        <f t="shared" si="133"/>
        <v>0</v>
      </c>
      <c r="G235" s="38">
        <f t="shared" si="133"/>
        <v>0</v>
      </c>
      <c r="H235" s="38">
        <f t="shared" si="133"/>
        <v>0</v>
      </c>
      <c r="I235" s="38">
        <f t="shared" si="133"/>
        <v>0</v>
      </c>
      <c r="J235" s="38">
        <f t="shared" si="133"/>
        <v>0</v>
      </c>
      <c r="K235" s="38">
        <f t="shared" si="133"/>
        <v>0</v>
      </c>
      <c r="L235" s="38">
        <f t="shared" si="133"/>
        <v>0</v>
      </c>
      <c r="M235" s="38">
        <f t="shared" si="133"/>
        <v>0</v>
      </c>
      <c r="N235" s="38">
        <f t="shared" si="133"/>
        <v>0</v>
      </c>
      <c r="O235" s="64"/>
    </row>
    <row r="236" spans="1:16" s="35" customFormat="1" ht="15.75" hidden="1" x14ac:dyDescent="0.25">
      <c r="A236" s="30"/>
      <c r="B236" s="65" t="s">
        <v>220</v>
      </c>
      <c r="C236" s="52" t="s">
        <v>264</v>
      </c>
      <c r="D236" s="53">
        <v>0</v>
      </c>
      <c r="E236" s="53"/>
      <c r="F236" s="53"/>
      <c r="G236" s="53"/>
      <c r="H236" s="53">
        <f>SUM(E236:G236)</f>
        <v>0</v>
      </c>
      <c r="I236" s="53"/>
      <c r="J236" s="53"/>
      <c r="K236" s="53"/>
      <c r="L236" s="53">
        <f>SUM(I236:K236)</f>
        <v>0</v>
      </c>
      <c r="M236" s="53">
        <f>H236+L236</f>
        <v>0</v>
      </c>
      <c r="N236" s="53">
        <f t="shared" ref="N236" si="134">D236-M236</f>
        <v>0</v>
      </c>
      <c r="O236" s="34">
        <v>6300000</v>
      </c>
      <c r="P236" s="55">
        <f>O236-J236</f>
        <v>6300000</v>
      </c>
    </row>
    <row r="237" spans="1:16" s="35" customFormat="1" ht="15.75" hidden="1" x14ac:dyDescent="0.25">
      <c r="A237" s="30"/>
      <c r="B237" s="65" t="s">
        <v>58</v>
      </c>
      <c r="C237" s="52" t="s">
        <v>265</v>
      </c>
      <c r="D237" s="53">
        <v>0</v>
      </c>
      <c r="E237" s="53"/>
      <c r="F237" s="53"/>
      <c r="G237" s="53"/>
      <c r="H237" s="53">
        <f>SUM(E237:G237)</f>
        <v>0</v>
      </c>
      <c r="I237" s="53"/>
      <c r="J237" s="53"/>
      <c r="K237" s="53"/>
      <c r="L237" s="53">
        <f>SUM(I237:K237)</f>
        <v>0</v>
      </c>
      <c r="M237" s="53">
        <f>H237+L237</f>
        <v>0</v>
      </c>
      <c r="N237" s="53">
        <f t="shared" si="114"/>
        <v>0</v>
      </c>
      <c r="O237" s="34">
        <v>12450000</v>
      </c>
      <c r="P237" s="55">
        <f>O237-J237</f>
        <v>12450000</v>
      </c>
    </row>
    <row r="238" spans="1:16" s="35" customFormat="1" ht="15.75" hidden="1" x14ac:dyDescent="0.25">
      <c r="A238" s="30"/>
      <c r="B238" s="65" t="s">
        <v>58</v>
      </c>
      <c r="C238" s="52" t="s">
        <v>266</v>
      </c>
      <c r="D238" s="53"/>
      <c r="E238" s="53"/>
      <c r="F238" s="53"/>
      <c r="G238" s="53"/>
      <c r="H238" s="53">
        <f>SUM(E238:G238)</f>
        <v>0</v>
      </c>
      <c r="I238" s="53"/>
      <c r="J238" s="53"/>
      <c r="K238" s="53"/>
      <c r="L238" s="53">
        <f>SUM(I238:K238)</f>
        <v>0</v>
      </c>
      <c r="M238" s="53">
        <f>H238+L238</f>
        <v>0</v>
      </c>
      <c r="N238" s="53">
        <f t="shared" si="114"/>
        <v>0</v>
      </c>
      <c r="O238" s="34">
        <v>5746000</v>
      </c>
    </row>
    <row r="239" spans="1:16" s="35" customFormat="1" ht="15.75" hidden="1" x14ac:dyDescent="0.25">
      <c r="A239" s="30"/>
      <c r="B239" s="65" t="s">
        <v>267</v>
      </c>
      <c r="C239" s="52" t="s">
        <v>268</v>
      </c>
      <c r="D239" s="53">
        <v>0</v>
      </c>
      <c r="E239" s="53"/>
      <c r="F239" s="53"/>
      <c r="G239" s="53"/>
      <c r="H239" s="53">
        <f>SUM(E239:G239)</f>
        <v>0</v>
      </c>
      <c r="I239" s="53"/>
      <c r="J239" s="53"/>
      <c r="K239" s="53"/>
      <c r="L239" s="53">
        <f>SUM(I239:K239)</f>
        <v>0</v>
      </c>
      <c r="M239" s="53">
        <f>H239+L239</f>
        <v>0</v>
      </c>
      <c r="N239" s="53">
        <f t="shared" si="114"/>
        <v>0</v>
      </c>
      <c r="O239" s="34">
        <v>5900000</v>
      </c>
      <c r="P239" s="55">
        <f>O239-J239</f>
        <v>5900000</v>
      </c>
    </row>
    <row r="240" spans="1:16" s="3" customFormat="1" ht="15.75" hidden="1" x14ac:dyDescent="0.25">
      <c r="A240" s="63"/>
      <c r="B240" s="36" t="s">
        <v>67</v>
      </c>
      <c r="C240" s="37" t="s">
        <v>169</v>
      </c>
      <c r="D240" s="38">
        <f>D241</f>
        <v>0</v>
      </c>
      <c r="E240" s="38">
        <f t="shared" ref="E240:M240" si="135">E241</f>
        <v>0</v>
      </c>
      <c r="F240" s="38">
        <f t="shared" si="135"/>
        <v>0</v>
      </c>
      <c r="G240" s="38">
        <f t="shared" si="135"/>
        <v>0</v>
      </c>
      <c r="H240" s="38">
        <f t="shared" si="135"/>
        <v>0</v>
      </c>
      <c r="I240" s="38">
        <f t="shared" si="135"/>
        <v>0</v>
      </c>
      <c r="J240" s="38">
        <f t="shared" si="135"/>
        <v>0</v>
      </c>
      <c r="K240" s="38">
        <f t="shared" si="135"/>
        <v>0</v>
      </c>
      <c r="L240" s="38">
        <f t="shared" si="135"/>
        <v>0</v>
      </c>
      <c r="M240" s="38">
        <f t="shared" si="135"/>
        <v>0</v>
      </c>
      <c r="N240" s="38">
        <f t="shared" si="114"/>
        <v>0</v>
      </c>
      <c r="O240" s="64"/>
      <c r="P240" s="55">
        <f>O240-J240</f>
        <v>0</v>
      </c>
    </row>
    <row r="241" spans="1:16" s="3" customFormat="1" ht="15.75" hidden="1" x14ac:dyDescent="0.25">
      <c r="A241" s="63"/>
      <c r="B241" s="36" t="s">
        <v>69</v>
      </c>
      <c r="C241" s="37" t="s">
        <v>70</v>
      </c>
      <c r="D241" s="38">
        <f>D242+D243</f>
        <v>0</v>
      </c>
      <c r="E241" s="38">
        <f t="shared" ref="E241:N241" si="136">E243+E242</f>
        <v>0</v>
      </c>
      <c r="F241" s="38">
        <f t="shared" si="136"/>
        <v>0</v>
      </c>
      <c r="G241" s="38">
        <f t="shared" si="136"/>
        <v>0</v>
      </c>
      <c r="H241" s="38">
        <f t="shared" si="136"/>
        <v>0</v>
      </c>
      <c r="I241" s="38">
        <f t="shared" si="136"/>
        <v>0</v>
      </c>
      <c r="J241" s="38">
        <f t="shared" si="136"/>
        <v>0</v>
      </c>
      <c r="K241" s="38">
        <f t="shared" si="136"/>
        <v>0</v>
      </c>
      <c r="L241" s="38">
        <f t="shared" si="136"/>
        <v>0</v>
      </c>
      <c r="M241" s="38">
        <f t="shared" si="136"/>
        <v>0</v>
      </c>
      <c r="N241" s="38">
        <f t="shared" si="136"/>
        <v>0</v>
      </c>
      <c r="O241" s="64"/>
    </row>
    <row r="242" spans="1:16" s="35" customFormat="1" ht="15.75" hidden="1" x14ac:dyDescent="0.25">
      <c r="A242" s="30"/>
      <c r="B242" s="65" t="s">
        <v>269</v>
      </c>
      <c r="C242" s="52" t="s">
        <v>270</v>
      </c>
      <c r="D242" s="53">
        <v>0</v>
      </c>
      <c r="E242" s="53"/>
      <c r="F242" s="53"/>
      <c r="G242" s="53"/>
      <c r="H242" s="53">
        <f>SUM(E242:G242)</f>
        <v>0</v>
      </c>
      <c r="I242" s="53"/>
      <c r="J242" s="53"/>
      <c r="K242" s="53"/>
      <c r="L242" s="53">
        <f>SUM(I242:K242)</f>
        <v>0</v>
      </c>
      <c r="M242" s="53">
        <f>H242+L242</f>
        <v>0</v>
      </c>
      <c r="N242" s="53">
        <f>D242-M242</f>
        <v>0</v>
      </c>
      <c r="O242" s="34">
        <v>13500000</v>
      </c>
    </row>
    <row r="243" spans="1:16" s="35" customFormat="1" ht="15.75" hidden="1" x14ac:dyDescent="0.25">
      <c r="A243" s="30"/>
      <c r="B243" s="65" t="s">
        <v>271</v>
      </c>
      <c r="C243" s="52" t="s">
        <v>272</v>
      </c>
      <c r="D243" s="53">
        <v>0</v>
      </c>
      <c r="E243" s="53"/>
      <c r="F243" s="53"/>
      <c r="G243" s="53"/>
      <c r="H243" s="53">
        <f>SUM(E243:G243)</f>
        <v>0</v>
      </c>
      <c r="I243" s="53"/>
      <c r="J243" s="53"/>
      <c r="K243" s="53"/>
      <c r="L243" s="53">
        <f>SUM(I243:K243)</f>
        <v>0</v>
      </c>
      <c r="M243" s="53">
        <f>H243+L243</f>
        <v>0</v>
      </c>
      <c r="N243" s="53">
        <f t="shared" si="114"/>
        <v>0</v>
      </c>
      <c r="O243" s="34">
        <v>4500000</v>
      </c>
      <c r="P243" s="55">
        <f>O243-J243</f>
        <v>4500000</v>
      </c>
    </row>
    <row r="244" spans="1:16" s="35" customFormat="1" ht="15.75" hidden="1" x14ac:dyDescent="0.25">
      <c r="A244" s="30"/>
      <c r="B244" s="49" t="s">
        <v>73</v>
      </c>
      <c r="C244" s="37" t="s">
        <v>74</v>
      </c>
      <c r="D244" s="38">
        <f>D245</f>
        <v>0</v>
      </c>
      <c r="E244" s="38">
        <f t="shared" ref="E244:N245" si="137">E245</f>
        <v>0</v>
      </c>
      <c r="F244" s="38">
        <f t="shared" si="137"/>
        <v>0</v>
      </c>
      <c r="G244" s="38">
        <f t="shared" si="137"/>
        <v>0</v>
      </c>
      <c r="H244" s="38">
        <f t="shared" si="137"/>
        <v>0</v>
      </c>
      <c r="I244" s="38">
        <f t="shared" si="137"/>
        <v>0</v>
      </c>
      <c r="J244" s="38">
        <f t="shared" si="137"/>
        <v>0</v>
      </c>
      <c r="K244" s="38">
        <f t="shared" si="137"/>
        <v>0</v>
      </c>
      <c r="L244" s="38">
        <f t="shared" si="137"/>
        <v>0</v>
      </c>
      <c r="M244" s="38">
        <f t="shared" si="137"/>
        <v>0</v>
      </c>
      <c r="N244" s="38">
        <f t="shared" si="114"/>
        <v>0</v>
      </c>
      <c r="O244" s="34"/>
    </row>
    <row r="245" spans="1:16" s="35" customFormat="1" ht="15.75" hidden="1" x14ac:dyDescent="0.25">
      <c r="A245" s="30"/>
      <c r="B245" s="49" t="s">
        <v>75</v>
      </c>
      <c r="C245" s="37" t="s">
        <v>76</v>
      </c>
      <c r="D245" s="38">
        <f>D246</f>
        <v>0</v>
      </c>
      <c r="E245" s="38">
        <f t="shared" si="137"/>
        <v>0</v>
      </c>
      <c r="F245" s="38">
        <f t="shared" si="137"/>
        <v>0</v>
      </c>
      <c r="G245" s="38">
        <f t="shared" si="137"/>
        <v>0</v>
      </c>
      <c r="H245" s="38">
        <f t="shared" si="137"/>
        <v>0</v>
      </c>
      <c r="I245" s="38">
        <f t="shared" si="137"/>
        <v>0</v>
      </c>
      <c r="J245" s="38">
        <f t="shared" si="137"/>
        <v>0</v>
      </c>
      <c r="K245" s="38">
        <f t="shared" si="137"/>
        <v>0</v>
      </c>
      <c r="L245" s="38">
        <f t="shared" si="137"/>
        <v>0</v>
      </c>
      <c r="M245" s="38">
        <f t="shared" si="137"/>
        <v>0</v>
      </c>
      <c r="N245" s="38">
        <f t="shared" si="137"/>
        <v>0</v>
      </c>
      <c r="O245" s="34"/>
    </row>
    <row r="246" spans="1:16" s="35" customFormat="1" ht="15.75" hidden="1" x14ac:dyDescent="0.25">
      <c r="A246" s="30"/>
      <c r="B246" s="51" t="s">
        <v>273</v>
      </c>
      <c r="C246" s="52" t="s">
        <v>274</v>
      </c>
      <c r="D246" s="53">
        <v>0</v>
      </c>
      <c r="E246" s="53"/>
      <c r="F246" s="53"/>
      <c r="G246" s="53"/>
      <c r="H246" s="53">
        <f>SUM(E246:G246)</f>
        <v>0</v>
      </c>
      <c r="I246" s="53"/>
      <c r="J246" s="53"/>
      <c r="K246" s="53"/>
      <c r="L246" s="53">
        <f>SUM(I246:K246)</f>
        <v>0</v>
      </c>
      <c r="M246" s="53">
        <f>H246+L246</f>
        <v>0</v>
      </c>
      <c r="N246" s="53">
        <f t="shared" si="114"/>
        <v>0</v>
      </c>
      <c r="O246" s="34">
        <v>47250000</v>
      </c>
    </row>
    <row r="247" spans="1:16" s="35" customFormat="1" ht="42" customHeight="1" x14ac:dyDescent="0.25">
      <c r="A247" s="44" t="s">
        <v>275</v>
      </c>
      <c r="B247" s="45" t="s">
        <v>276</v>
      </c>
      <c r="C247" s="46" t="s">
        <v>277</v>
      </c>
      <c r="D247" s="47">
        <f>+D248</f>
        <v>174501824</v>
      </c>
      <c r="E247" s="47">
        <f t="shared" ref="E247:N247" si="138">+E248</f>
        <v>0</v>
      </c>
      <c r="F247" s="47">
        <f t="shared" si="138"/>
        <v>0</v>
      </c>
      <c r="G247" s="47">
        <f t="shared" si="138"/>
        <v>0</v>
      </c>
      <c r="H247" s="47">
        <f t="shared" si="138"/>
        <v>0</v>
      </c>
      <c r="I247" s="47">
        <f t="shared" si="138"/>
        <v>8816000</v>
      </c>
      <c r="J247" s="47">
        <f t="shared" si="138"/>
        <v>0</v>
      </c>
      <c r="K247" s="47">
        <f t="shared" si="138"/>
        <v>0</v>
      </c>
      <c r="L247" s="47">
        <f t="shared" si="138"/>
        <v>8816000</v>
      </c>
      <c r="M247" s="47">
        <f t="shared" si="138"/>
        <v>8816000</v>
      </c>
      <c r="N247" s="47">
        <f t="shared" si="138"/>
        <v>165685824</v>
      </c>
      <c r="O247" s="54">
        <f>J247+K247</f>
        <v>0</v>
      </c>
    </row>
    <row r="248" spans="1:16" s="3" customFormat="1" ht="15.75" x14ac:dyDescent="0.25">
      <c r="A248" s="63"/>
      <c r="B248" s="31" t="s">
        <v>19</v>
      </c>
      <c r="C248" s="32" t="s">
        <v>20</v>
      </c>
      <c r="D248" s="38">
        <f>D249</f>
        <v>174501824</v>
      </c>
      <c r="E248" s="38">
        <f t="shared" ref="E248:N249" si="139">E249</f>
        <v>0</v>
      </c>
      <c r="F248" s="38">
        <f t="shared" si="139"/>
        <v>0</v>
      </c>
      <c r="G248" s="38">
        <f t="shared" si="139"/>
        <v>0</v>
      </c>
      <c r="H248" s="38">
        <f t="shared" si="139"/>
        <v>0</v>
      </c>
      <c r="I248" s="38">
        <f t="shared" si="139"/>
        <v>8816000</v>
      </c>
      <c r="J248" s="38">
        <f t="shared" si="139"/>
        <v>0</v>
      </c>
      <c r="K248" s="38">
        <f t="shared" si="139"/>
        <v>0</v>
      </c>
      <c r="L248" s="38">
        <f t="shared" si="139"/>
        <v>8816000</v>
      </c>
      <c r="M248" s="38">
        <f t="shared" si="139"/>
        <v>8816000</v>
      </c>
      <c r="N248" s="38">
        <f t="shared" si="139"/>
        <v>165685824</v>
      </c>
      <c r="O248" s="64"/>
    </row>
    <row r="249" spans="1:16" s="3" customFormat="1" ht="15.75" x14ac:dyDescent="0.25">
      <c r="A249" s="63"/>
      <c r="B249" s="36" t="s">
        <v>21</v>
      </c>
      <c r="C249" s="37" t="s">
        <v>22</v>
      </c>
      <c r="D249" s="38">
        <f>D250</f>
        <v>174501824</v>
      </c>
      <c r="E249" s="38">
        <f t="shared" si="139"/>
        <v>0</v>
      </c>
      <c r="F249" s="38">
        <f t="shared" si="139"/>
        <v>0</v>
      </c>
      <c r="G249" s="38">
        <f t="shared" si="139"/>
        <v>0</v>
      </c>
      <c r="H249" s="38">
        <f t="shared" si="139"/>
        <v>0</v>
      </c>
      <c r="I249" s="38">
        <f t="shared" si="139"/>
        <v>8816000</v>
      </c>
      <c r="J249" s="38">
        <f t="shared" si="139"/>
        <v>0</v>
      </c>
      <c r="K249" s="38">
        <f t="shared" si="139"/>
        <v>0</v>
      </c>
      <c r="L249" s="38">
        <f t="shared" si="139"/>
        <v>8816000</v>
      </c>
      <c r="M249" s="38">
        <f t="shared" si="139"/>
        <v>8816000</v>
      </c>
      <c r="N249" s="38">
        <f t="shared" si="139"/>
        <v>165685824</v>
      </c>
      <c r="O249" s="64"/>
    </row>
    <row r="250" spans="1:16" s="3" customFormat="1" ht="15.75" x14ac:dyDescent="0.25">
      <c r="A250" s="63"/>
      <c r="B250" s="36" t="s">
        <v>28</v>
      </c>
      <c r="C250" s="37" t="s">
        <v>29</v>
      </c>
      <c r="D250" s="38">
        <f>D255+D258</f>
        <v>174501824</v>
      </c>
      <c r="E250" s="38">
        <f t="shared" ref="E250:N250" si="140">E255+E258</f>
        <v>0</v>
      </c>
      <c r="F250" s="38">
        <f t="shared" si="140"/>
        <v>0</v>
      </c>
      <c r="G250" s="38">
        <f t="shared" si="140"/>
        <v>0</v>
      </c>
      <c r="H250" s="38">
        <f t="shared" si="140"/>
        <v>0</v>
      </c>
      <c r="I250" s="38">
        <f t="shared" si="140"/>
        <v>8816000</v>
      </c>
      <c r="J250" s="38">
        <f t="shared" si="140"/>
        <v>0</v>
      </c>
      <c r="K250" s="38">
        <f t="shared" si="140"/>
        <v>0</v>
      </c>
      <c r="L250" s="38">
        <f t="shared" si="140"/>
        <v>8816000</v>
      </c>
      <c r="M250" s="38">
        <f t="shared" si="140"/>
        <v>8816000</v>
      </c>
      <c r="N250" s="38">
        <f t="shared" si="140"/>
        <v>165685824</v>
      </c>
      <c r="O250" s="64"/>
    </row>
    <row r="251" spans="1:16" s="3" customFormat="1" ht="15.75" hidden="1" customHeight="1" x14ac:dyDescent="0.25">
      <c r="A251" s="63"/>
      <c r="B251" s="36" t="s">
        <v>36</v>
      </c>
      <c r="C251" s="37" t="s">
        <v>92</v>
      </c>
      <c r="D251" s="38">
        <f>D252</f>
        <v>0</v>
      </c>
      <c r="E251" s="38">
        <f t="shared" ref="E251:N251" si="141">E252</f>
        <v>0</v>
      </c>
      <c r="F251" s="38">
        <f t="shared" si="141"/>
        <v>0</v>
      </c>
      <c r="G251" s="38">
        <f t="shared" si="141"/>
        <v>0</v>
      </c>
      <c r="H251" s="38">
        <f t="shared" si="141"/>
        <v>0</v>
      </c>
      <c r="I251" s="38">
        <f t="shared" si="141"/>
        <v>0</v>
      </c>
      <c r="J251" s="38">
        <f t="shared" si="141"/>
        <v>0</v>
      </c>
      <c r="K251" s="38">
        <f t="shared" si="141"/>
        <v>0</v>
      </c>
      <c r="L251" s="38">
        <f t="shared" si="141"/>
        <v>0</v>
      </c>
      <c r="M251" s="38">
        <f t="shared" si="141"/>
        <v>0</v>
      </c>
      <c r="N251" s="38">
        <f t="shared" si="141"/>
        <v>0</v>
      </c>
      <c r="O251" s="64"/>
    </row>
    <row r="252" spans="1:16" s="3" customFormat="1" ht="15.75" hidden="1" customHeight="1" x14ac:dyDescent="0.25">
      <c r="A252" s="63"/>
      <c r="B252" s="36" t="s">
        <v>38</v>
      </c>
      <c r="C252" s="37" t="s">
        <v>263</v>
      </c>
      <c r="D252" s="38">
        <f>D253+D254</f>
        <v>0</v>
      </c>
      <c r="E252" s="38">
        <f t="shared" ref="E252:N252" si="142">E253+E254</f>
        <v>0</v>
      </c>
      <c r="F252" s="38">
        <f t="shared" si="142"/>
        <v>0</v>
      </c>
      <c r="G252" s="38">
        <f t="shared" si="142"/>
        <v>0</v>
      </c>
      <c r="H252" s="38">
        <f t="shared" si="142"/>
        <v>0</v>
      </c>
      <c r="I252" s="38">
        <f t="shared" si="142"/>
        <v>0</v>
      </c>
      <c r="J252" s="38">
        <f t="shared" si="142"/>
        <v>0</v>
      </c>
      <c r="K252" s="38">
        <f t="shared" si="142"/>
        <v>0</v>
      </c>
      <c r="L252" s="38">
        <f t="shared" si="142"/>
        <v>0</v>
      </c>
      <c r="M252" s="38">
        <f t="shared" si="142"/>
        <v>0</v>
      </c>
      <c r="N252" s="38">
        <f t="shared" si="142"/>
        <v>0</v>
      </c>
      <c r="O252" s="64"/>
    </row>
    <row r="253" spans="1:16" s="35" customFormat="1" ht="15.75" hidden="1" customHeight="1" x14ac:dyDescent="0.25">
      <c r="A253" s="30"/>
      <c r="B253" s="65" t="s">
        <v>58</v>
      </c>
      <c r="C253" s="52" t="s">
        <v>265</v>
      </c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34"/>
    </row>
    <row r="254" spans="1:16" s="35" customFormat="1" ht="15.75" hidden="1" customHeight="1" x14ac:dyDescent="0.25">
      <c r="A254" s="30"/>
      <c r="B254" s="65" t="s">
        <v>267</v>
      </c>
      <c r="C254" s="52" t="s">
        <v>268</v>
      </c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34"/>
    </row>
    <row r="255" spans="1:16" s="3" customFormat="1" ht="15.75" x14ac:dyDescent="0.25">
      <c r="A255" s="63"/>
      <c r="B255" s="36" t="s">
        <v>36</v>
      </c>
      <c r="C255" s="37" t="s">
        <v>37</v>
      </c>
      <c r="D255" s="38">
        <f>D256</f>
        <v>25000000</v>
      </c>
      <c r="E255" s="38">
        <f t="shared" ref="E255:N255" si="143">E256</f>
        <v>0</v>
      </c>
      <c r="F255" s="38">
        <f t="shared" si="143"/>
        <v>0</v>
      </c>
      <c r="G255" s="38">
        <f t="shared" si="143"/>
        <v>0</v>
      </c>
      <c r="H255" s="38">
        <f t="shared" si="143"/>
        <v>0</v>
      </c>
      <c r="I255" s="38">
        <f t="shared" si="143"/>
        <v>0</v>
      </c>
      <c r="J255" s="38">
        <f t="shared" si="143"/>
        <v>0</v>
      </c>
      <c r="K255" s="38">
        <f t="shared" si="143"/>
        <v>0</v>
      </c>
      <c r="L255" s="38">
        <f t="shared" si="143"/>
        <v>0</v>
      </c>
      <c r="M255" s="38">
        <f t="shared" si="143"/>
        <v>0</v>
      </c>
      <c r="N255" s="38">
        <f t="shared" si="143"/>
        <v>25000000</v>
      </c>
      <c r="O255" s="64"/>
    </row>
    <row r="256" spans="1:16" s="3" customFormat="1" ht="15.75" x14ac:dyDescent="0.25">
      <c r="A256" s="63"/>
      <c r="B256" s="36" t="s">
        <v>38</v>
      </c>
      <c r="C256" s="37" t="s">
        <v>39</v>
      </c>
      <c r="D256" s="38">
        <f>D257+D262</f>
        <v>25000000</v>
      </c>
      <c r="E256" s="38">
        <f t="shared" ref="E256:N256" si="144">E257+E262</f>
        <v>0</v>
      </c>
      <c r="F256" s="38">
        <f t="shared" si="144"/>
        <v>0</v>
      </c>
      <c r="G256" s="38">
        <f t="shared" si="144"/>
        <v>0</v>
      </c>
      <c r="H256" s="38">
        <f t="shared" si="144"/>
        <v>0</v>
      </c>
      <c r="I256" s="38">
        <f t="shared" si="144"/>
        <v>0</v>
      </c>
      <c r="J256" s="38">
        <f t="shared" si="144"/>
        <v>0</v>
      </c>
      <c r="K256" s="38">
        <f t="shared" si="144"/>
        <v>0</v>
      </c>
      <c r="L256" s="38">
        <f t="shared" si="144"/>
        <v>0</v>
      </c>
      <c r="M256" s="38">
        <f t="shared" si="144"/>
        <v>0</v>
      </c>
      <c r="N256" s="38">
        <f t="shared" si="144"/>
        <v>25000000</v>
      </c>
      <c r="O256" s="64"/>
    </row>
    <row r="257" spans="1:15" s="35" customFormat="1" ht="15.75" x14ac:dyDescent="0.25">
      <c r="A257" s="30"/>
      <c r="B257" s="65" t="s">
        <v>278</v>
      </c>
      <c r="C257" s="52" t="s">
        <v>52</v>
      </c>
      <c r="D257" s="53">
        <v>25000000</v>
      </c>
      <c r="E257" s="53"/>
      <c r="F257" s="53"/>
      <c r="G257" s="53"/>
      <c r="H257" s="53">
        <f>SUM(E257:G257)</f>
        <v>0</v>
      </c>
      <c r="I257" s="53"/>
      <c r="J257" s="53"/>
      <c r="K257" s="53"/>
      <c r="L257" s="53">
        <f>SUM(I257:K257)</f>
        <v>0</v>
      </c>
      <c r="M257" s="53">
        <f>H257+L257</f>
        <v>0</v>
      </c>
      <c r="N257" s="53">
        <f t="shared" ref="N257" si="145">D257-M257</f>
        <v>25000000</v>
      </c>
      <c r="O257" s="34"/>
    </row>
    <row r="258" spans="1:15" s="3" customFormat="1" ht="15.75" x14ac:dyDescent="0.25">
      <c r="A258" s="63"/>
      <c r="B258" s="36" t="s">
        <v>67</v>
      </c>
      <c r="C258" s="37" t="s">
        <v>169</v>
      </c>
      <c r="D258" s="38">
        <f>D259</f>
        <v>149501824</v>
      </c>
      <c r="E258" s="38">
        <f t="shared" ref="E258:N258" si="146">E259</f>
        <v>0</v>
      </c>
      <c r="F258" s="38">
        <f t="shared" si="146"/>
        <v>0</v>
      </c>
      <c r="G258" s="38">
        <f t="shared" si="146"/>
        <v>0</v>
      </c>
      <c r="H258" s="38">
        <f t="shared" si="146"/>
        <v>0</v>
      </c>
      <c r="I258" s="38">
        <f t="shared" si="146"/>
        <v>8816000</v>
      </c>
      <c r="J258" s="38">
        <f t="shared" si="146"/>
        <v>0</v>
      </c>
      <c r="K258" s="38">
        <f t="shared" si="146"/>
        <v>0</v>
      </c>
      <c r="L258" s="38">
        <f t="shared" si="146"/>
        <v>8816000</v>
      </c>
      <c r="M258" s="38">
        <f t="shared" si="146"/>
        <v>8816000</v>
      </c>
      <c r="N258" s="38">
        <f t="shared" si="146"/>
        <v>140685824</v>
      </c>
      <c r="O258" s="64"/>
    </row>
    <row r="259" spans="1:15" s="3" customFormat="1" ht="15.75" x14ac:dyDescent="0.25">
      <c r="A259" s="63"/>
      <c r="B259" s="36" t="s">
        <v>69</v>
      </c>
      <c r="C259" s="37" t="s">
        <v>70</v>
      </c>
      <c r="D259" s="38">
        <f>D260+D266</f>
        <v>149501824</v>
      </c>
      <c r="E259" s="38">
        <f t="shared" ref="E259:N259" si="147">E260+E266</f>
        <v>0</v>
      </c>
      <c r="F259" s="38">
        <f t="shared" si="147"/>
        <v>0</v>
      </c>
      <c r="G259" s="38">
        <f t="shared" si="147"/>
        <v>0</v>
      </c>
      <c r="H259" s="38">
        <f t="shared" si="147"/>
        <v>0</v>
      </c>
      <c r="I259" s="38">
        <f t="shared" si="147"/>
        <v>8816000</v>
      </c>
      <c r="J259" s="38">
        <f t="shared" si="147"/>
        <v>0</v>
      </c>
      <c r="K259" s="38">
        <f t="shared" si="147"/>
        <v>0</v>
      </c>
      <c r="L259" s="38">
        <f t="shared" si="147"/>
        <v>8816000</v>
      </c>
      <c r="M259" s="38">
        <f t="shared" si="147"/>
        <v>8816000</v>
      </c>
      <c r="N259" s="38">
        <f t="shared" si="147"/>
        <v>140685824</v>
      </c>
      <c r="O259" s="64"/>
    </row>
    <row r="260" spans="1:15" s="35" customFormat="1" ht="15.75" x14ac:dyDescent="0.25">
      <c r="A260" s="30"/>
      <c r="B260" s="65" t="s">
        <v>279</v>
      </c>
      <c r="C260" s="52" t="s">
        <v>280</v>
      </c>
      <c r="D260" s="53">
        <v>134548000</v>
      </c>
      <c r="E260" s="53"/>
      <c r="F260" s="53"/>
      <c r="G260" s="53"/>
      <c r="H260" s="53">
        <f>SUM(E260:G260)</f>
        <v>0</v>
      </c>
      <c r="I260" s="53">
        <v>8816000</v>
      </c>
      <c r="J260" s="53"/>
      <c r="K260" s="53"/>
      <c r="L260" s="53">
        <f>SUM(I260:K260)</f>
        <v>8816000</v>
      </c>
      <c r="M260" s="53">
        <f>H260+L260</f>
        <v>8816000</v>
      </c>
      <c r="N260" s="53">
        <f t="shared" si="114"/>
        <v>125732000</v>
      </c>
      <c r="O260" s="34"/>
    </row>
    <row r="261" spans="1:15" s="35" customFormat="1" ht="15.75" hidden="1" customHeight="1" x14ac:dyDescent="0.25">
      <c r="A261" s="30"/>
      <c r="B261" s="65" t="s">
        <v>271</v>
      </c>
      <c r="C261" s="52" t="s">
        <v>281</v>
      </c>
      <c r="D261" s="53"/>
      <c r="E261" s="53"/>
      <c r="F261" s="53"/>
      <c r="G261" s="53"/>
      <c r="H261" s="53">
        <f>SUM(E261:G261)</f>
        <v>0</v>
      </c>
      <c r="I261" s="53"/>
      <c r="J261" s="53"/>
      <c r="K261" s="53"/>
      <c r="L261" s="53">
        <f>SUM(I261:K261)</f>
        <v>0</v>
      </c>
      <c r="M261" s="53">
        <f>H261+L261</f>
        <v>0</v>
      </c>
      <c r="N261" s="53">
        <f t="shared" si="114"/>
        <v>0</v>
      </c>
      <c r="O261" s="34"/>
    </row>
    <row r="262" spans="1:15" s="3" customFormat="1" ht="15.75" hidden="1" customHeight="1" x14ac:dyDescent="0.25">
      <c r="A262" s="63"/>
      <c r="B262" s="36" t="s">
        <v>73</v>
      </c>
      <c r="C262" s="37" t="s">
        <v>282</v>
      </c>
      <c r="D262" s="38">
        <f>D263</f>
        <v>0</v>
      </c>
      <c r="E262" s="38">
        <f t="shared" ref="E262:M263" si="148">E263</f>
        <v>0</v>
      </c>
      <c r="F262" s="38">
        <f t="shared" si="148"/>
        <v>0</v>
      </c>
      <c r="G262" s="38">
        <f t="shared" si="148"/>
        <v>0</v>
      </c>
      <c r="H262" s="38">
        <f t="shared" si="148"/>
        <v>0</v>
      </c>
      <c r="I262" s="38"/>
      <c r="J262" s="38">
        <f t="shared" si="148"/>
        <v>0</v>
      </c>
      <c r="K262" s="38">
        <f t="shared" si="148"/>
        <v>0</v>
      </c>
      <c r="L262" s="38">
        <f t="shared" si="148"/>
        <v>0</v>
      </c>
      <c r="M262" s="38">
        <f t="shared" si="148"/>
        <v>0</v>
      </c>
      <c r="N262" s="38">
        <f t="shared" si="114"/>
        <v>0</v>
      </c>
      <c r="O262" s="64"/>
    </row>
    <row r="263" spans="1:15" s="3" customFormat="1" ht="15.75" hidden="1" customHeight="1" x14ac:dyDescent="0.25">
      <c r="A263" s="63"/>
      <c r="B263" s="36" t="s">
        <v>75</v>
      </c>
      <c r="C263" s="37" t="s">
        <v>76</v>
      </c>
      <c r="D263" s="38">
        <f>D264</f>
        <v>0</v>
      </c>
      <c r="E263" s="38">
        <f t="shared" si="148"/>
        <v>0</v>
      </c>
      <c r="F263" s="38">
        <f t="shared" si="148"/>
        <v>0</v>
      </c>
      <c r="G263" s="38">
        <f t="shared" si="148"/>
        <v>0</v>
      </c>
      <c r="H263" s="38">
        <f t="shared" si="148"/>
        <v>0</v>
      </c>
      <c r="I263" s="38"/>
      <c r="J263" s="38">
        <f t="shared" si="148"/>
        <v>0</v>
      </c>
      <c r="K263" s="38">
        <f t="shared" si="148"/>
        <v>0</v>
      </c>
      <c r="L263" s="38">
        <f t="shared" si="148"/>
        <v>0</v>
      </c>
      <c r="M263" s="38">
        <f t="shared" si="148"/>
        <v>0</v>
      </c>
      <c r="N263" s="38">
        <f t="shared" si="114"/>
        <v>0</v>
      </c>
      <c r="O263" s="64"/>
    </row>
    <row r="264" spans="1:15" s="35" customFormat="1" ht="15.75" hidden="1" customHeight="1" x14ac:dyDescent="0.25">
      <c r="A264" s="30"/>
      <c r="B264" s="65" t="s">
        <v>273</v>
      </c>
      <c r="C264" s="52" t="s">
        <v>274</v>
      </c>
      <c r="D264" s="53"/>
      <c r="E264" s="53"/>
      <c r="F264" s="53"/>
      <c r="G264" s="53"/>
      <c r="H264" s="53">
        <f>SUM(E264:G264)</f>
        <v>0</v>
      </c>
      <c r="I264" s="53"/>
      <c r="J264" s="53"/>
      <c r="K264" s="53"/>
      <c r="L264" s="53">
        <f>SUM(I264:K264)</f>
        <v>0</v>
      </c>
      <c r="M264" s="53">
        <f>H264+L264</f>
        <v>0</v>
      </c>
      <c r="N264" s="53">
        <f t="shared" si="114"/>
        <v>0</v>
      </c>
      <c r="O264" s="34"/>
    </row>
    <row r="265" spans="1:15" s="35" customFormat="1" ht="15.75" hidden="1" customHeight="1" x14ac:dyDescent="0.25">
      <c r="A265" s="30"/>
      <c r="B265" s="65" t="s">
        <v>283</v>
      </c>
      <c r="C265" s="52" t="s">
        <v>280</v>
      </c>
      <c r="D265" s="53"/>
      <c r="E265" s="53"/>
      <c r="F265" s="53"/>
      <c r="G265" s="53"/>
      <c r="H265" s="53">
        <f>SUM(E265:G265)</f>
        <v>0</v>
      </c>
      <c r="I265" s="53"/>
      <c r="J265" s="53"/>
      <c r="K265" s="53"/>
      <c r="L265" s="53">
        <f>SUM(I265:K265)</f>
        <v>0</v>
      </c>
      <c r="M265" s="53">
        <f>H265+L265</f>
        <v>0</v>
      </c>
      <c r="N265" s="53">
        <f t="shared" si="114"/>
        <v>0</v>
      </c>
      <c r="O265" s="34"/>
    </row>
    <row r="266" spans="1:15" s="35" customFormat="1" ht="15.75" x14ac:dyDescent="0.25">
      <c r="A266" s="30"/>
      <c r="B266" s="65" t="s">
        <v>187</v>
      </c>
      <c r="C266" s="52" t="s">
        <v>188</v>
      </c>
      <c r="D266" s="53">
        <v>14953824</v>
      </c>
      <c r="E266" s="53"/>
      <c r="F266" s="53"/>
      <c r="G266" s="53"/>
      <c r="H266" s="53">
        <f>SUM(E266:G266)</f>
        <v>0</v>
      </c>
      <c r="I266" s="53"/>
      <c r="J266" s="53"/>
      <c r="K266" s="53"/>
      <c r="L266" s="53">
        <f>SUM(I266:K266)</f>
        <v>0</v>
      </c>
      <c r="M266" s="53">
        <f>H266+L266</f>
        <v>0</v>
      </c>
      <c r="N266" s="53">
        <f t="shared" si="114"/>
        <v>14953824</v>
      </c>
      <c r="O266" s="34"/>
    </row>
    <row r="267" spans="1:15" s="35" customFormat="1" ht="15.75" x14ac:dyDescent="0.25">
      <c r="A267" s="44" t="s">
        <v>284</v>
      </c>
      <c r="B267" s="45" t="s">
        <v>285</v>
      </c>
      <c r="C267" s="46" t="s">
        <v>286</v>
      </c>
      <c r="D267" s="47">
        <f>+D268</f>
        <v>187397520</v>
      </c>
      <c r="E267" s="47">
        <f t="shared" ref="E267:N267" si="149">+E268</f>
        <v>0</v>
      </c>
      <c r="F267" s="47">
        <f t="shared" si="149"/>
        <v>0</v>
      </c>
      <c r="G267" s="47">
        <f t="shared" si="149"/>
        <v>0</v>
      </c>
      <c r="H267" s="47">
        <f t="shared" si="149"/>
        <v>0</v>
      </c>
      <c r="I267" s="47">
        <f t="shared" si="149"/>
        <v>34700000</v>
      </c>
      <c r="J267" s="47">
        <f t="shared" si="149"/>
        <v>9000000</v>
      </c>
      <c r="K267" s="47">
        <f t="shared" si="149"/>
        <v>8239000</v>
      </c>
      <c r="L267" s="47">
        <f t="shared" si="149"/>
        <v>51939000</v>
      </c>
      <c r="M267" s="47">
        <f t="shared" si="149"/>
        <v>51939000</v>
      </c>
      <c r="N267" s="47">
        <f t="shared" si="149"/>
        <v>135458520</v>
      </c>
      <c r="O267" s="54">
        <f>J267+K267</f>
        <v>17239000</v>
      </c>
    </row>
    <row r="268" spans="1:15" s="3" customFormat="1" ht="15.75" x14ac:dyDescent="0.25">
      <c r="A268" s="63"/>
      <c r="B268" s="31" t="s">
        <v>19</v>
      </c>
      <c r="C268" s="32" t="s">
        <v>20</v>
      </c>
      <c r="D268" s="38">
        <f>D269</f>
        <v>187397520</v>
      </c>
      <c r="E268" s="38">
        <f t="shared" ref="E268:N269" si="150">E269</f>
        <v>0</v>
      </c>
      <c r="F268" s="38">
        <f t="shared" si="150"/>
        <v>0</v>
      </c>
      <c r="G268" s="38">
        <f t="shared" si="150"/>
        <v>0</v>
      </c>
      <c r="H268" s="38">
        <f t="shared" si="150"/>
        <v>0</v>
      </c>
      <c r="I268" s="38">
        <f t="shared" si="150"/>
        <v>34700000</v>
      </c>
      <c r="J268" s="38">
        <f t="shared" si="150"/>
        <v>9000000</v>
      </c>
      <c r="K268" s="38">
        <f t="shared" si="150"/>
        <v>8239000</v>
      </c>
      <c r="L268" s="38">
        <f t="shared" si="150"/>
        <v>51939000</v>
      </c>
      <c r="M268" s="38">
        <f t="shared" si="150"/>
        <v>51939000</v>
      </c>
      <c r="N268" s="38">
        <f t="shared" si="150"/>
        <v>135458520</v>
      </c>
      <c r="O268" s="64"/>
    </row>
    <row r="269" spans="1:15" s="3" customFormat="1" ht="15.75" x14ac:dyDescent="0.25">
      <c r="A269" s="63"/>
      <c r="B269" s="36" t="s">
        <v>21</v>
      </c>
      <c r="C269" s="37" t="s">
        <v>22</v>
      </c>
      <c r="D269" s="38">
        <f>D270</f>
        <v>187397520</v>
      </c>
      <c r="E269" s="38">
        <f t="shared" si="150"/>
        <v>0</v>
      </c>
      <c r="F269" s="38">
        <f t="shared" si="150"/>
        <v>0</v>
      </c>
      <c r="G269" s="38">
        <f t="shared" si="150"/>
        <v>0</v>
      </c>
      <c r="H269" s="38">
        <f t="shared" si="150"/>
        <v>0</v>
      </c>
      <c r="I269" s="38">
        <f t="shared" si="150"/>
        <v>34700000</v>
      </c>
      <c r="J269" s="38">
        <f t="shared" si="150"/>
        <v>9000000</v>
      </c>
      <c r="K269" s="38">
        <f t="shared" si="150"/>
        <v>8239000</v>
      </c>
      <c r="L269" s="38">
        <f t="shared" si="150"/>
        <v>51939000</v>
      </c>
      <c r="M269" s="38">
        <f t="shared" si="150"/>
        <v>51939000</v>
      </c>
      <c r="N269" s="38">
        <f t="shared" si="150"/>
        <v>135458520</v>
      </c>
      <c r="O269" s="64"/>
    </row>
    <row r="270" spans="1:15" s="3" customFormat="1" ht="15.75" x14ac:dyDescent="0.25">
      <c r="A270" s="63"/>
      <c r="B270" s="36" t="s">
        <v>28</v>
      </c>
      <c r="C270" s="37" t="s">
        <v>29</v>
      </c>
      <c r="D270" s="38">
        <f>D271+D275+D280</f>
        <v>187397520</v>
      </c>
      <c r="E270" s="38">
        <f t="shared" ref="E270:N270" si="151">E271+E275+E280</f>
        <v>0</v>
      </c>
      <c r="F270" s="38">
        <f t="shared" si="151"/>
        <v>0</v>
      </c>
      <c r="G270" s="38">
        <f t="shared" si="151"/>
        <v>0</v>
      </c>
      <c r="H270" s="38">
        <f t="shared" si="151"/>
        <v>0</v>
      </c>
      <c r="I270" s="38">
        <f t="shared" si="151"/>
        <v>34700000</v>
      </c>
      <c r="J270" s="38">
        <f t="shared" si="151"/>
        <v>9000000</v>
      </c>
      <c r="K270" s="38">
        <f t="shared" si="151"/>
        <v>8239000</v>
      </c>
      <c r="L270" s="38">
        <f t="shared" si="151"/>
        <v>51939000</v>
      </c>
      <c r="M270" s="38">
        <f t="shared" si="151"/>
        <v>51939000</v>
      </c>
      <c r="N270" s="38">
        <f t="shared" si="151"/>
        <v>135458520</v>
      </c>
      <c r="O270" s="64"/>
    </row>
    <row r="271" spans="1:15" s="3" customFormat="1" ht="15.75" x14ac:dyDescent="0.25">
      <c r="A271" s="63"/>
      <c r="B271" s="36" t="s">
        <v>36</v>
      </c>
      <c r="C271" s="37" t="s">
        <v>92</v>
      </c>
      <c r="D271" s="38">
        <f>D272</f>
        <v>122070000</v>
      </c>
      <c r="E271" s="38">
        <f t="shared" ref="E271:N271" si="152">E272</f>
        <v>0</v>
      </c>
      <c r="F271" s="38">
        <f t="shared" si="152"/>
        <v>0</v>
      </c>
      <c r="G271" s="38">
        <f t="shared" si="152"/>
        <v>0</v>
      </c>
      <c r="H271" s="38">
        <f t="shared" si="152"/>
        <v>0</v>
      </c>
      <c r="I271" s="38">
        <f t="shared" si="152"/>
        <v>25500000</v>
      </c>
      <c r="J271" s="38">
        <f t="shared" si="152"/>
        <v>9000000</v>
      </c>
      <c r="K271" s="38">
        <f t="shared" si="152"/>
        <v>8239000</v>
      </c>
      <c r="L271" s="38">
        <f t="shared" si="152"/>
        <v>42739000</v>
      </c>
      <c r="M271" s="38">
        <f t="shared" si="152"/>
        <v>42739000</v>
      </c>
      <c r="N271" s="38">
        <f t="shared" si="152"/>
        <v>79331000</v>
      </c>
      <c r="O271" s="64"/>
    </row>
    <row r="272" spans="1:15" s="3" customFormat="1" ht="15.75" x14ac:dyDescent="0.25">
      <c r="A272" s="63"/>
      <c r="B272" s="36" t="s">
        <v>38</v>
      </c>
      <c r="C272" s="37" t="s">
        <v>39</v>
      </c>
      <c r="D272" s="38">
        <f>D274+D273</f>
        <v>122070000</v>
      </c>
      <c r="E272" s="38">
        <f t="shared" ref="E272:N272" si="153">E274+E273</f>
        <v>0</v>
      </c>
      <c r="F272" s="38">
        <f t="shared" si="153"/>
        <v>0</v>
      </c>
      <c r="G272" s="38">
        <f t="shared" si="153"/>
        <v>0</v>
      </c>
      <c r="H272" s="38">
        <f t="shared" si="153"/>
        <v>0</v>
      </c>
      <c r="I272" s="38">
        <f t="shared" si="153"/>
        <v>25500000</v>
      </c>
      <c r="J272" s="38">
        <f t="shared" si="153"/>
        <v>9000000</v>
      </c>
      <c r="K272" s="38">
        <f t="shared" si="153"/>
        <v>8239000</v>
      </c>
      <c r="L272" s="38">
        <f t="shared" si="153"/>
        <v>42739000</v>
      </c>
      <c r="M272" s="38">
        <f t="shared" si="153"/>
        <v>42739000</v>
      </c>
      <c r="N272" s="38">
        <f t="shared" si="153"/>
        <v>79331000</v>
      </c>
      <c r="O272" s="64"/>
    </row>
    <row r="273" spans="1:15" s="35" customFormat="1" ht="15.75" x14ac:dyDescent="0.25">
      <c r="A273" s="30"/>
      <c r="B273" s="51" t="s">
        <v>220</v>
      </c>
      <c r="C273" s="52" t="s">
        <v>221</v>
      </c>
      <c r="D273" s="53">
        <v>99120000</v>
      </c>
      <c r="E273" s="53"/>
      <c r="F273" s="53"/>
      <c r="G273" s="53"/>
      <c r="H273" s="53">
        <f>SUM(E273:G273)</f>
        <v>0</v>
      </c>
      <c r="I273" s="53">
        <v>20100000</v>
      </c>
      <c r="J273" s="53">
        <v>9000000</v>
      </c>
      <c r="K273" s="53">
        <v>8239000</v>
      </c>
      <c r="L273" s="53">
        <f>SUM(I273:K273)</f>
        <v>37339000</v>
      </c>
      <c r="M273" s="53">
        <f>H273+L273</f>
        <v>37339000</v>
      </c>
      <c r="N273" s="53">
        <f>D273-M273</f>
        <v>61781000</v>
      </c>
      <c r="O273" s="54">
        <f>J273+K273</f>
        <v>17239000</v>
      </c>
    </row>
    <row r="274" spans="1:15" s="35" customFormat="1" ht="15.75" x14ac:dyDescent="0.25">
      <c r="A274" s="30"/>
      <c r="B274" s="65" t="s">
        <v>267</v>
      </c>
      <c r="C274" s="52" t="s">
        <v>287</v>
      </c>
      <c r="D274" s="53">
        <v>22950000</v>
      </c>
      <c r="E274" s="53"/>
      <c r="F274" s="53"/>
      <c r="G274" s="53"/>
      <c r="H274" s="53">
        <f>SUM(E274:G274)</f>
        <v>0</v>
      </c>
      <c r="I274" s="53">
        <v>5400000</v>
      </c>
      <c r="J274" s="53"/>
      <c r="K274" s="53"/>
      <c r="L274" s="53">
        <f>SUM(I274:K274)</f>
        <v>5400000</v>
      </c>
      <c r="M274" s="53">
        <f>H274+L274</f>
        <v>5400000</v>
      </c>
      <c r="N274" s="53">
        <f t="shared" si="114"/>
        <v>17550000</v>
      </c>
      <c r="O274" s="34"/>
    </row>
    <row r="275" spans="1:15" s="3" customFormat="1" ht="15.75" x14ac:dyDescent="0.25">
      <c r="A275" s="63"/>
      <c r="B275" s="36" t="s">
        <v>67</v>
      </c>
      <c r="C275" s="37" t="s">
        <v>169</v>
      </c>
      <c r="D275" s="38">
        <f>D276+D278</f>
        <v>65327520</v>
      </c>
      <c r="E275" s="38">
        <f t="shared" ref="E275:N275" si="154">E276+E278</f>
        <v>0</v>
      </c>
      <c r="F275" s="38">
        <f t="shared" si="154"/>
        <v>0</v>
      </c>
      <c r="G275" s="38">
        <f t="shared" si="154"/>
        <v>0</v>
      </c>
      <c r="H275" s="38">
        <f t="shared" si="154"/>
        <v>0</v>
      </c>
      <c r="I275" s="38">
        <f t="shared" si="154"/>
        <v>9200000</v>
      </c>
      <c r="J275" s="38">
        <f t="shared" si="154"/>
        <v>0</v>
      </c>
      <c r="K275" s="38">
        <f t="shared" si="154"/>
        <v>0</v>
      </c>
      <c r="L275" s="38">
        <f t="shared" si="154"/>
        <v>9200000</v>
      </c>
      <c r="M275" s="38">
        <f t="shared" si="154"/>
        <v>9200000</v>
      </c>
      <c r="N275" s="38">
        <f t="shared" si="154"/>
        <v>56127520</v>
      </c>
      <c r="O275" s="64"/>
    </row>
    <row r="276" spans="1:15" s="3" customFormat="1" ht="15.75" x14ac:dyDescent="0.25">
      <c r="A276" s="63"/>
      <c r="B276" s="36" t="s">
        <v>69</v>
      </c>
      <c r="C276" s="37" t="s">
        <v>70</v>
      </c>
      <c r="D276" s="38">
        <f>D277</f>
        <v>55200000</v>
      </c>
      <c r="E276" s="38">
        <f t="shared" ref="E276:N276" si="155">E277</f>
        <v>0</v>
      </c>
      <c r="F276" s="38">
        <f t="shared" si="155"/>
        <v>0</v>
      </c>
      <c r="G276" s="38">
        <f t="shared" si="155"/>
        <v>0</v>
      </c>
      <c r="H276" s="38">
        <f t="shared" si="155"/>
        <v>0</v>
      </c>
      <c r="I276" s="38">
        <f t="shared" si="155"/>
        <v>9200000</v>
      </c>
      <c r="J276" s="38">
        <f t="shared" si="155"/>
        <v>0</v>
      </c>
      <c r="K276" s="38">
        <f t="shared" si="155"/>
        <v>0</v>
      </c>
      <c r="L276" s="38">
        <f t="shared" si="155"/>
        <v>9200000</v>
      </c>
      <c r="M276" s="38">
        <f t="shared" si="155"/>
        <v>9200000</v>
      </c>
      <c r="N276" s="38">
        <f t="shared" si="155"/>
        <v>46000000</v>
      </c>
      <c r="O276" s="64"/>
    </row>
    <row r="277" spans="1:15" s="35" customFormat="1" ht="15.75" x14ac:dyDescent="0.25">
      <c r="A277" s="30"/>
      <c r="B277" s="65" t="s">
        <v>279</v>
      </c>
      <c r="C277" s="52" t="s">
        <v>288</v>
      </c>
      <c r="D277" s="53">
        <v>55200000</v>
      </c>
      <c r="E277" s="53"/>
      <c r="F277" s="53"/>
      <c r="G277" s="53"/>
      <c r="H277" s="53">
        <f>SUM(E277:G277)</f>
        <v>0</v>
      </c>
      <c r="I277" s="53">
        <v>9200000</v>
      </c>
      <c r="J277" s="53"/>
      <c r="K277" s="53"/>
      <c r="L277" s="53">
        <f>SUM(I277:K277)</f>
        <v>9200000</v>
      </c>
      <c r="M277" s="53">
        <f>H277+L277</f>
        <v>9200000</v>
      </c>
      <c r="N277" s="53">
        <f>D277-M277</f>
        <v>46000000</v>
      </c>
      <c r="O277" s="62"/>
    </row>
    <row r="278" spans="1:15" s="3" customFormat="1" ht="15.75" x14ac:dyDescent="0.25">
      <c r="A278" s="63"/>
      <c r="B278" s="36" t="s">
        <v>203</v>
      </c>
      <c r="C278" s="37" t="s">
        <v>289</v>
      </c>
      <c r="D278" s="38">
        <f>D279</f>
        <v>10127520</v>
      </c>
      <c r="E278" s="38">
        <f t="shared" ref="E278:M278" si="156">E279</f>
        <v>0</v>
      </c>
      <c r="F278" s="38">
        <f t="shared" si="156"/>
        <v>0</v>
      </c>
      <c r="G278" s="38">
        <f t="shared" si="156"/>
        <v>0</v>
      </c>
      <c r="H278" s="38">
        <f t="shared" si="156"/>
        <v>0</v>
      </c>
      <c r="I278" s="38">
        <f t="shared" si="156"/>
        <v>0</v>
      </c>
      <c r="J278" s="38">
        <f t="shared" si="156"/>
        <v>0</v>
      </c>
      <c r="K278" s="38">
        <f t="shared" si="156"/>
        <v>0</v>
      </c>
      <c r="L278" s="38">
        <f t="shared" si="156"/>
        <v>0</v>
      </c>
      <c r="M278" s="38">
        <f t="shared" si="156"/>
        <v>0</v>
      </c>
      <c r="N278" s="38">
        <f t="shared" si="114"/>
        <v>10127520</v>
      </c>
      <c r="O278" s="64"/>
    </row>
    <row r="279" spans="1:15" s="35" customFormat="1" ht="16.5" thickBot="1" x14ac:dyDescent="0.3">
      <c r="A279" s="30"/>
      <c r="B279" s="65" t="s">
        <v>290</v>
      </c>
      <c r="C279" s="52" t="s">
        <v>291</v>
      </c>
      <c r="D279" s="53">
        <v>10127520</v>
      </c>
      <c r="E279" s="53"/>
      <c r="F279" s="53"/>
      <c r="G279" s="53"/>
      <c r="H279" s="53">
        <f>SUM(E279:G279)</f>
        <v>0</v>
      </c>
      <c r="I279" s="53"/>
      <c r="J279" s="53"/>
      <c r="K279" s="53"/>
      <c r="L279" s="53">
        <f>SUM(I279:K279)</f>
        <v>0</v>
      </c>
      <c r="M279" s="53">
        <f>H279+L279</f>
        <v>0</v>
      </c>
      <c r="N279" s="53">
        <f t="shared" si="114"/>
        <v>10127520</v>
      </c>
      <c r="O279" s="34"/>
    </row>
    <row r="280" spans="1:15" s="35" customFormat="1" ht="16.5" hidden="1" thickBot="1" x14ac:dyDescent="0.3">
      <c r="A280" s="30"/>
      <c r="B280" s="49" t="s">
        <v>73</v>
      </c>
      <c r="C280" s="37" t="s">
        <v>74</v>
      </c>
      <c r="D280" s="38">
        <f>D281</f>
        <v>0</v>
      </c>
      <c r="E280" s="38">
        <f t="shared" ref="E280:N281" si="157">E281</f>
        <v>0</v>
      </c>
      <c r="F280" s="38">
        <f t="shared" si="157"/>
        <v>0</v>
      </c>
      <c r="G280" s="38">
        <f t="shared" si="157"/>
        <v>0</v>
      </c>
      <c r="H280" s="38">
        <f t="shared" si="157"/>
        <v>0</v>
      </c>
      <c r="I280" s="38">
        <f t="shared" si="157"/>
        <v>0</v>
      </c>
      <c r="J280" s="38">
        <f t="shared" si="157"/>
        <v>0</v>
      </c>
      <c r="K280" s="38">
        <f t="shared" si="157"/>
        <v>0</v>
      </c>
      <c r="L280" s="38">
        <f t="shared" si="157"/>
        <v>0</v>
      </c>
      <c r="M280" s="38">
        <f t="shared" si="157"/>
        <v>0</v>
      </c>
      <c r="N280" s="38">
        <f>D280-M280</f>
        <v>0</v>
      </c>
      <c r="O280" s="34"/>
    </row>
    <row r="281" spans="1:15" s="35" customFormat="1" ht="16.5" hidden="1" customHeight="1" x14ac:dyDescent="0.25">
      <c r="A281" s="30"/>
      <c r="B281" s="49" t="s">
        <v>75</v>
      </c>
      <c r="C281" s="37" t="s">
        <v>76</v>
      </c>
      <c r="D281" s="38">
        <f>D282</f>
        <v>0</v>
      </c>
      <c r="E281" s="38">
        <f t="shared" si="157"/>
        <v>0</v>
      </c>
      <c r="F281" s="38">
        <f t="shared" si="157"/>
        <v>0</v>
      </c>
      <c r="G281" s="38">
        <f t="shared" si="157"/>
        <v>0</v>
      </c>
      <c r="H281" s="38">
        <f t="shared" si="157"/>
        <v>0</v>
      </c>
      <c r="I281" s="38">
        <f t="shared" si="157"/>
        <v>0</v>
      </c>
      <c r="J281" s="38">
        <f t="shared" si="157"/>
        <v>0</v>
      </c>
      <c r="K281" s="38">
        <f t="shared" si="157"/>
        <v>0</v>
      </c>
      <c r="L281" s="38">
        <f t="shared" si="157"/>
        <v>0</v>
      </c>
      <c r="M281" s="38">
        <f t="shared" si="157"/>
        <v>0</v>
      </c>
      <c r="N281" s="38">
        <f t="shared" si="157"/>
        <v>0</v>
      </c>
      <c r="O281" s="34"/>
    </row>
    <row r="282" spans="1:15" s="35" customFormat="1" ht="16.5" hidden="1" customHeight="1" thickBot="1" x14ac:dyDescent="0.3">
      <c r="A282" s="30"/>
      <c r="B282" s="51" t="s">
        <v>77</v>
      </c>
      <c r="C282" s="52" t="s">
        <v>292</v>
      </c>
      <c r="D282" s="53">
        <v>0</v>
      </c>
      <c r="E282" s="53"/>
      <c r="F282" s="53"/>
      <c r="G282" s="53"/>
      <c r="H282" s="53">
        <f>SUM(E282:G282)</f>
        <v>0</v>
      </c>
      <c r="I282" s="53"/>
      <c r="J282" s="53"/>
      <c r="K282" s="53"/>
      <c r="L282" s="53">
        <f>SUM(I282:K282)</f>
        <v>0</v>
      </c>
      <c r="M282" s="53">
        <f>H282+L282</f>
        <v>0</v>
      </c>
      <c r="N282" s="53">
        <f>D282-M282</f>
        <v>0</v>
      </c>
      <c r="O282" s="34"/>
    </row>
    <row r="283" spans="1:15" s="70" customFormat="1" ht="16.5" thickBot="1" x14ac:dyDescent="0.3">
      <c r="A283" s="66" t="s">
        <v>293</v>
      </c>
      <c r="B283" s="67"/>
      <c r="C283" s="68"/>
      <c r="D283" s="69">
        <f t="shared" ref="D283:N283" si="158">D12+D56+D126+D170+D221</f>
        <v>2704866443.0999999</v>
      </c>
      <c r="E283" s="69">
        <f t="shared" si="158"/>
        <v>364681500</v>
      </c>
      <c r="F283" s="69">
        <f t="shared" si="158"/>
        <v>100205300</v>
      </c>
      <c r="G283" s="69">
        <f>G12+G56+G126+G170+G221</f>
        <v>0</v>
      </c>
      <c r="H283" s="69">
        <f t="shared" si="158"/>
        <v>464886800</v>
      </c>
      <c r="I283" s="69">
        <f t="shared" si="158"/>
        <v>84951274</v>
      </c>
      <c r="J283" s="69">
        <f t="shared" si="158"/>
        <v>58657480</v>
      </c>
      <c r="K283" s="69">
        <f t="shared" si="158"/>
        <v>34856444</v>
      </c>
      <c r="L283" s="69">
        <f t="shared" si="158"/>
        <v>178465198</v>
      </c>
      <c r="M283" s="69">
        <f t="shared" si="158"/>
        <v>643351998</v>
      </c>
      <c r="N283" s="69">
        <f t="shared" si="158"/>
        <v>2061514445.0999999</v>
      </c>
      <c r="O283" s="62">
        <f>K283+J283</f>
        <v>93513924</v>
      </c>
    </row>
    <row r="284" spans="1:15" s="78" customFormat="1" ht="15" x14ac:dyDescent="0.2">
      <c r="A284" s="71"/>
      <c r="B284" s="72"/>
      <c r="C284" s="72"/>
      <c r="D284" s="73"/>
      <c r="E284" s="72"/>
      <c r="F284" s="74"/>
      <c r="G284" s="75"/>
      <c r="H284" s="76"/>
      <c r="I284" s="77"/>
      <c r="J284" s="75"/>
      <c r="K284" s="75"/>
      <c r="L284" s="72"/>
      <c r="M284" s="72"/>
      <c r="N284" s="72"/>
    </row>
    <row r="285" spans="1:15" s="78" customFormat="1" ht="15.75" x14ac:dyDescent="0.25">
      <c r="A285" s="79"/>
      <c r="B285" s="80"/>
      <c r="C285" s="81" t="s">
        <v>294</v>
      </c>
      <c r="D285" s="82"/>
      <c r="E285" s="83"/>
      <c r="F285" s="83"/>
      <c r="G285" s="84"/>
      <c r="H285" s="83"/>
      <c r="I285" s="83"/>
      <c r="J285" s="84"/>
      <c r="K285" s="84"/>
      <c r="L285" s="83"/>
      <c r="M285" s="84"/>
      <c r="N285" s="84"/>
    </row>
    <row r="286" spans="1:15" s="78" customFormat="1" ht="15.75" x14ac:dyDescent="0.25">
      <c r="A286" s="79"/>
      <c r="B286" s="80"/>
      <c r="C286" s="85" t="s">
        <v>295</v>
      </c>
      <c r="D286" s="86"/>
      <c r="E286" s="87">
        <f t="shared" ref="E286:M286" si="159">E287+E288+E289+E290</f>
        <v>364681500</v>
      </c>
      <c r="F286" s="87">
        <f t="shared" si="159"/>
        <v>100205300</v>
      </c>
      <c r="G286" s="87">
        <f t="shared" si="159"/>
        <v>0</v>
      </c>
      <c r="H286" s="87">
        <f t="shared" si="159"/>
        <v>464886800</v>
      </c>
      <c r="I286" s="87">
        <f t="shared" si="159"/>
        <v>259024795</v>
      </c>
      <c r="J286" s="87">
        <f t="shared" si="159"/>
        <v>209164000</v>
      </c>
      <c r="K286" s="87">
        <f t="shared" si="159"/>
        <v>0</v>
      </c>
      <c r="L286" s="87">
        <f t="shared" si="159"/>
        <v>468188795</v>
      </c>
      <c r="M286" s="87">
        <f t="shared" si="159"/>
        <v>933075595</v>
      </c>
      <c r="N286" s="84"/>
    </row>
    <row r="287" spans="1:15" s="78" customFormat="1" ht="15.75" x14ac:dyDescent="0.25">
      <c r="A287" s="79"/>
      <c r="B287" s="80"/>
      <c r="C287" s="88" t="s">
        <v>296</v>
      </c>
      <c r="D287" s="86"/>
      <c r="E287" s="89">
        <v>0</v>
      </c>
      <c r="F287" s="89"/>
      <c r="G287" s="84"/>
      <c r="H287" s="89">
        <f>E287+F287+G287</f>
        <v>0</v>
      </c>
      <c r="I287" s="89">
        <v>259024795</v>
      </c>
      <c r="J287" s="84"/>
      <c r="K287" s="84"/>
      <c r="L287" s="89">
        <f>I287+J287+K287</f>
        <v>259024795</v>
      </c>
      <c r="M287" s="89">
        <f>H287+L287</f>
        <v>259024795</v>
      </c>
      <c r="N287" s="84"/>
    </row>
    <row r="288" spans="1:15" s="78" customFormat="1" ht="15.75" x14ac:dyDescent="0.25">
      <c r="A288" s="79"/>
      <c r="B288" s="80"/>
      <c r="C288" s="90" t="s">
        <v>297</v>
      </c>
      <c r="D288" s="86"/>
      <c r="E288" s="89">
        <v>0</v>
      </c>
      <c r="F288" s="89"/>
      <c r="G288" s="84"/>
      <c r="H288" s="89">
        <f>E288+F288+G288</f>
        <v>0</v>
      </c>
      <c r="I288" s="89"/>
      <c r="J288" s="84">
        <v>209164000</v>
      </c>
      <c r="K288" s="84"/>
      <c r="L288" s="89">
        <f>I288+J288+K288</f>
        <v>209164000</v>
      </c>
      <c r="M288" s="89">
        <f>H288+L288</f>
        <v>209164000</v>
      </c>
      <c r="N288" s="84"/>
    </row>
    <row r="289" spans="1:15" s="78" customFormat="1" ht="15.75" x14ac:dyDescent="0.25">
      <c r="A289" s="79"/>
      <c r="B289" s="80"/>
      <c r="C289" s="88" t="s">
        <v>298</v>
      </c>
      <c r="D289" s="86"/>
      <c r="E289" s="89">
        <v>0</v>
      </c>
      <c r="F289" s="89"/>
      <c r="G289" s="84"/>
      <c r="H289" s="89">
        <f>E289+F289+G289</f>
        <v>0</v>
      </c>
      <c r="I289" s="89"/>
      <c r="J289" s="84"/>
      <c r="K289" s="84"/>
      <c r="L289" s="89">
        <f>I289+J289+K289</f>
        <v>0</v>
      </c>
      <c r="M289" s="89">
        <f>H289+L289</f>
        <v>0</v>
      </c>
      <c r="N289" s="84"/>
    </row>
    <row r="290" spans="1:15" s="78" customFormat="1" ht="15.75" x14ac:dyDescent="0.25">
      <c r="A290" s="79"/>
      <c r="B290" s="80"/>
      <c r="C290" s="88" t="s">
        <v>299</v>
      </c>
      <c r="D290" s="86"/>
      <c r="E290" s="89">
        <v>364681500</v>
      </c>
      <c r="F290" s="89">
        <v>100205300</v>
      </c>
      <c r="G290" s="84"/>
      <c r="H290" s="89">
        <f>E290+F290+G290</f>
        <v>464886800</v>
      </c>
      <c r="I290" s="89"/>
      <c r="J290" s="84"/>
      <c r="K290" s="84"/>
      <c r="L290" s="89">
        <f>I290+J290+K290</f>
        <v>0</v>
      </c>
      <c r="M290" s="89">
        <f>H290+L290</f>
        <v>464886800</v>
      </c>
      <c r="N290" s="84"/>
    </row>
    <row r="291" spans="1:15" s="78" customFormat="1" ht="15.75" x14ac:dyDescent="0.25">
      <c r="A291" s="79"/>
      <c r="B291" s="80"/>
      <c r="C291" s="91" t="s">
        <v>300</v>
      </c>
      <c r="D291" s="82"/>
      <c r="E291" s="87">
        <f t="shared" ref="E291:M291" si="160">+E292+E293+E294+E295+E296+E297</f>
        <v>39604590</v>
      </c>
      <c r="F291" s="87">
        <f t="shared" si="160"/>
        <v>11735755</v>
      </c>
      <c r="G291" s="87">
        <f t="shared" si="160"/>
        <v>0</v>
      </c>
      <c r="H291" s="87">
        <f t="shared" si="160"/>
        <v>51340345</v>
      </c>
      <c r="I291" s="87">
        <f t="shared" si="160"/>
        <v>125000</v>
      </c>
      <c r="J291" s="87">
        <f t="shared" si="160"/>
        <v>26200</v>
      </c>
      <c r="K291" s="87">
        <f t="shared" si="160"/>
        <v>0</v>
      </c>
      <c r="L291" s="87">
        <f t="shared" si="160"/>
        <v>151200</v>
      </c>
      <c r="M291" s="87">
        <f t="shared" si="160"/>
        <v>51491545</v>
      </c>
      <c r="N291" s="84"/>
    </row>
    <row r="292" spans="1:15" s="78" customFormat="1" ht="15.75" x14ac:dyDescent="0.25">
      <c r="A292" s="79"/>
      <c r="B292" s="80"/>
      <c r="C292" s="90" t="s">
        <v>301</v>
      </c>
      <c r="D292" s="86"/>
      <c r="E292" s="89">
        <v>31184653</v>
      </c>
      <c r="F292" s="89">
        <v>9930254</v>
      </c>
      <c r="G292" s="84"/>
      <c r="H292" s="89">
        <f>E292+F292+G292</f>
        <v>41114907</v>
      </c>
      <c r="I292" s="89"/>
      <c r="J292" s="84"/>
      <c r="K292" s="84"/>
      <c r="L292" s="89">
        <f>I292+J292+K292</f>
        <v>0</v>
      </c>
      <c r="M292" s="89">
        <f t="shared" ref="M292:M298" si="161">H292+L292</f>
        <v>41114907</v>
      </c>
      <c r="N292" s="84"/>
      <c r="O292" s="92">
        <f>G292-F292</f>
        <v>-9930254</v>
      </c>
    </row>
    <row r="293" spans="1:15" s="78" customFormat="1" ht="15.75" x14ac:dyDescent="0.25">
      <c r="A293" s="79"/>
      <c r="B293" s="80"/>
      <c r="C293" s="88" t="s">
        <v>302</v>
      </c>
      <c r="D293" s="86"/>
      <c r="E293" s="89">
        <v>0</v>
      </c>
      <c r="F293" s="89"/>
      <c r="G293" s="84"/>
      <c r="H293" s="89">
        <f>E293+F293+G293</f>
        <v>0</v>
      </c>
      <c r="I293" s="89">
        <v>125000</v>
      </c>
      <c r="J293" s="84"/>
      <c r="K293" s="84"/>
      <c r="L293" s="89">
        <f>I293+J293+K293</f>
        <v>125000</v>
      </c>
      <c r="M293" s="89">
        <f t="shared" si="161"/>
        <v>125000</v>
      </c>
      <c r="N293" s="84"/>
      <c r="O293" s="78">
        <v>1395000</v>
      </c>
    </row>
    <row r="294" spans="1:15" s="78" customFormat="1" ht="15.75" x14ac:dyDescent="0.25">
      <c r="A294" s="79"/>
      <c r="B294" s="80"/>
      <c r="C294" s="88" t="s">
        <v>303</v>
      </c>
      <c r="D294" s="86"/>
      <c r="E294" s="89">
        <v>0</v>
      </c>
      <c r="F294" s="89"/>
      <c r="G294" s="84"/>
      <c r="H294" s="89">
        <f>E294+F294+G294</f>
        <v>0</v>
      </c>
      <c r="I294" s="89"/>
      <c r="J294" s="84"/>
      <c r="K294" s="84"/>
      <c r="L294" s="89">
        <f>I294+J294+K294</f>
        <v>0</v>
      </c>
      <c r="M294" s="89">
        <f t="shared" si="161"/>
        <v>0</v>
      </c>
      <c r="N294" s="84"/>
    </row>
    <row r="295" spans="1:15" s="78" customFormat="1" ht="15.75" x14ac:dyDescent="0.25">
      <c r="A295" s="79"/>
      <c r="B295" s="80"/>
      <c r="C295" s="88" t="s">
        <v>304</v>
      </c>
      <c r="D295" s="86"/>
      <c r="E295" s="89">
        <v>5669937</v>
      </c>
      <c r="F295" s="89">
        <v>1805501</v>
      </c>
      <c r="G295" s="84"/>
      <c r="H295" s="89">
        <f>E295+F295+G295</f>
        <v>7475438</v>
      </c>
      <c r="I295" s="89"/>
      <c r="J295" s="84">
        <v>26200</v>
      </c>
      <c r="K295" s="84"/>
      <c r="L295" s="89">
        <f>I295+J295+K295</f>
        <v>26200</v>
      </c>
      <c r="M295" s="89">
        <f t="shared" si="161"/>
        <v>7501638</v>
      </c>
      <c r="N295" s="84"/>
      <c r="O295" s="92">
        <f>G295-F295</f>
        <v>-1805501</v>
      </c>
    </row>
    <row r="296" spans="1:15" s="78" customFormat="1" ht="15.75" x14ac:dyDescent="0.25">
      <c r="A296" s="79"/>
      <c r="B296" s="80"/>
      <c r="C296" s="90" t="s">
        <v>305</v>
      </c>
      <c r="D296" s="86"/>
      <c r="E296" s="89">
        <v>2750000</v>
      </c>
      <c r="F296" s="89"/>
      <c r="G296" s="84"/>
      <c r="H296" s="89">
        <f>E296+F296+G296</f>
        <v>2750000</v>
      </c>
      <c r="I296" s="89"/>
      <c r="J296" s="84"/>
      <c r="K296" s="84"/>
      <c r="L296" s="89">
        <f>I296+J296+K296</f>
        <v>0</v>
      </c>
      <c r="M296" s="89">
        <f t="shared" si="161"/>
        <v>2750000</v>
      </c>
      <c r="N296" s="84"/>
    </row>
    <row r="297" spans="1:15" s="78" customFormat="1" ht="15.75" x14ac:dyDescent="0.25">
      <c r="A297" s="79"/>
      <c r="B297" s="80"/>
      <c r="C297" s="85" t="s">
        <v>306</v>
      </c>
      <c r="D297" s="93"/>
      <c r="E297" s="89">
        <v>0</v>
      </c>
      <c r="F297" s="89"/>
      <c r="G297" s="84"/>
      <c r="H297" s="89"/>
      <c r="I297" s="89">
        <v>0</v>
      </c>
      <c r="J297" s="84"/>
      <c r="K297" s="84"/>
      <c r="L297" s="89"/>
      <c r="M297" s="87">
        <f t="shared" si="161"/>
        <v>0</v>
      </c>
      <c r="N297" s="84"/>
    </row>
    <row r="298" spans="1:15" s="78" customFormat="1" ht="16.5" thickBot="1" x14ac:dyDescent="0.3">
      <c r="A298" s="79"/>
      <c r="B298" s="80"/>
      <c r="C298" s="94" t="s">
        <v>307</v>
      </c>
      <c r="D298" s="95"/>
      <c r="E298" s="96"/>
      <c r="F298" s="96"/>
      <c r="G298" s="97"/>
      <c r="H298" s="96"/>
      <c r="I298" s="96"/>
      <c r="J298" s="97"/>
      <c r="K298" s="97"/>
      <c r="L298" s="96"/>
      <c r="M298" s="98">
        <f t="shared" si="161"/>
        <v>0</v>
      </c>
      <c r="N298" s="97"/>
    </row>
    <row r="299" spans="1:15" s="78" customFormat="1" ht="15.75" x14ac:dyDescent="0.25">
      <c r="A299" s="79"/>
      <c r="B299" s="80"/>
      <c r="C299" s="99" t="s">
        <v>308</v>
      </c>
      <c r="D299" s="100"/>
      <c r="E299" s="101">
        <f>+E291+E286+E297+E298</f>
        <v>404286090</v>
      </c>
      <c r="F299" s="101">
        <f t="shared" ref="F299:L299" si="162">+F291+F286+F297+F298</f>
        <v>111941055</v>
      </c>
      <c r="G299" s="101">
        <f t="shared" si="162"/>
        <v>0</v>
      </c>
      <c r="H299" s="101">
        <f t="shared" si="162"/>
        <v>516227145</v>
      </c>
      <c r="I299" s="101">
        <f t="shared" si="162"/>
        <v>259149795</v>
      </c>
      <c r="J299" s="101">
        <f t="shared" si="162"/>
        <v>209190200</v>
      </c>
      <c r="K299" s="101">
        <f t="shared" si="162"/>
        <v>0</v>
      </c>
      <c r="L299" s="101">
        <f t="shared" si="162"/>
        <v>468339995</v>
      </c>
      <c r="M299" s="101">
        <f>+M291+M286+M297+M298</f>
        <v>984567140</v>
      </c>
      <c r="N299" s="102"/>
    </row>
    <row r="300" spans="1:15" s="78" customFormat="1" ht="15.75" x14ac:dyDescent="0.25">
      <c r="A300" s="79"/>
      <c r="B300" s="80"/>
      <c r="C300" s="100"/>
      <c r="D300" s="100"/>
      <c r="E300" s="100"/>
      <c r="F300" s="103"/>
      <c r="G300" s="104"/>
      <c r="H300" s="105"/>
      <c r="I300" s="100"/>
      <c r="J300" s="104"/>
      <c r="K300" s="104"/>
      <c r="L300" s="105"/>
      <c r="M300" s="105"/>
      <c r="N300" s="104"/>
    </row>
    <row r="301" spans="1:15" s="78" customFormat="1" ht="15.75" x14ac:dyDescent="0.25">
      <c r="A301" s="79"/>
      <c r="B301" s="80"/>
      <c r="C301" s="106" t="s">
        <v>309</v>
      </c>
      <c r="D301" s="82"/>
      <c r="E301" s="83"/>
      <c r="F301" s="83"/>
      <c r="G301" s="84"/>
      <c r="H301" s="83"/>
      <c r="I301" s="83"/>
      <c r="J301" s="84"/>
      <c r="K301" s="84"/>
      <c r="L301" s="83"/>
      <c r="M301" s="83"/>
      <c r="N301" s="84"/>
    </row>
    <row r="302" spans="1:15" s="78" customFormat="1" ht="15.75" x14ac:dyDescent="0.25">
      <c r="A302" s="79"/>
      <c r="B302" s="80"/>
      <c r="C302" s="85" t="s">
        <v>295</v>
      </c>
      <c r="D302" s="86"/>
      <c r="E302" s="87">
        <f t="shared" ref="E302:L302" si="163">E303+E304+E305+E306</f>
        <v>364681500</v>
      </c>
      <c r="F302" s="87">
        <f t="shared" si="163"/>
        <v>100205300</v>
      </c>
      <c r="G302" s="87">
        <f t="shared" si="163"/>
        <v>0</v>
      </c>
      <c r="H302" s="87">
        <f t="shared" si="163"/>
        <v>464886800</v>
      </c>
      <c r="I302" s="87">
        <f t="shared" si="163"/>
        <v>84951274</v>
      </c>
      <c r="J302" s="87">
        <f t="shared" si="163"/>
        <v>58657480</v>
      </c>
      <c r="K302" s="87">
        <f t="shared" si="163"/>
        <v>34856444</v>
      </c>
      <c r="L302" s="87">
        <f t="shared" si="163"/>
        <v>178465198</v>
      </c>
      <c r="M302" s="87">
        <f>M303+M304+M305+M306</f>
        <v>643351998</v>
      </c>
      <c r="N302" s="84"/>
    </row>
    <row r="303" spans="1:15" s="78" customFormat="1" ht="15.75" x14ac:dyDescent="0.25">
      <c r="A303" s="79"/>
      <c r="B303" s="80"/>
      <c r="C303" s="88" t="s">
        <v>296</v>
      </c>
      <c r="D303" s="86"/>
      <c r="E303" s="89">
        <v>0</v>
      </c>
      <c r="F303" s="89"/>
      <c r="G303" s="84"/>
      <c r="H303" s="89">
        <f>E303+F303+G303</f>
        <v>0</v>
      </c>
      <c r="I303" s="89"/>
      <c r="J303" s="84"/>
      <c r="K303" s="84"/>
      <c r="L303" s="89">
        <f>I303+J303+K303</f>
        <v>0</v>
      </c>
      <c r="M303" s="89">
        <f>H303+L303</f>
        <v>0</v>
      </c>
      <c r="N303" s="84"/>
    </row>
    <row r="304" spans="1:15" s="78" customFormat="1" ht="15.75" x14ac:dyDescent="0.25">
      <c r="A304" s="79"/>
      <c r="B304" s="80"/>
      <c r="C304" s="90" t="s">
        <v>297</v>
      </c>
      <c r="D304" s="86"/>
      <c r="E304" s="89">
        <v>0</v>
      </c>
      <c r="F304" s="89"/>
      <c r="G304" s="84"/>
      <c r="H304" s="89">
        <f>E304+F304+G304</f>
        <v>0</v>
      </c>
      <c r="I304" s="89">
        <v>84951274</v>
      </c>
      <c r="J304" s="84">
        <v>58657480</v>
      </c>
      <c r="K304" s="84">
        <v>34856444</v>
      </c>
      <c r="L304" s="89">
        <f>I304+J304+K304</f>
        <v>178465198</v>
      </c>
      <c r="M304" s="89">
        <f>H304+L304</f>
        <v>178465198</v>
      </c>
      <c r="N304" s="84"/>
      <c r="O304" s="92">
        <f>K304+J304</f>
        <v>93513924</v>
      </c>
    </row>
    <row r="305" spans="1:17" s="78" customFormat="1" ht="15.75" x14ac:dyDescent="0.25">
      <c r="A305" s="79"/>
      <c r="B305" s="80"/>
      <c r="C305" s="88" t="s">
        <v>298</v>
      </c>
      <c r="D305" s="86"/>
      <c r="E305" s="89">
        <v>0</v>
      </c>
      <c r="F305" s="89"/>
      <c r="G305" s="84"/>
      <c r="H305" s="89">
        <f>E305+F305+G305</f>
        <v>0</v>
      </c>
      <c r="I305" s="89"/>
      <c r="J305" s="84"/>
      <c r="K305" s="84"/>
      <c r="L305" s="89">
        <f>I305+J305+K305</f>
        <v>0</v>
      </c>
      <c r="M305" s="89">
        <f>H305+L305</f>
        <v>0</v>
      </c>
      <c r="N305" s="84"/>
    </row>
    <row r="306" spans="1:17" s="78" customFormat="1" ht="15.75" x14ac:dyDescent="0.25">
      <c r="A306" s="79"/>
      <c r="B306" s="80"/>
      <c r="C306" s="88" t="s">
        <v>299</v>
      </c>
      <c r="D306" s="86"/>
      <c r="E306" s="89">
        <v>364681500</v>
      </c>
      <c r="F306" s="89">
        <v>100205300</v>
      </c>
      <c r="G306" s="84"/>
      <c r="H306" s="89">
        <f>E306+F306+G306</f>
        <v>464886800</v>
      </c>
      <c r="I306" s="89"/>
      <c r="J306" s="84"/>
      <c r="K306" s="84"/>
      <c r="L306" s="89">
        <f>I306+J306+K306</f>
        <v>0</v>
      </c>
      <c r="M306" s="89">
        <f>H306+L306</f>
        <v>464886800</v>
      </c>
      <c r="N306" s="84"/>
    </row>
    <row r="307" spans="1:17" s="78" customFormat="1" ht="15.75" x14ac:dyDescent="0.25">
      <c r="A307" s="79"/>
      <c r="B307" s="80"/>
      <c r="C307" s="91" t="s">
        <v>310</v>
      </c>
      <c r="D307" s="82"/>
      <c r="E307" s="87">
        <f t="shared" ref="E307:H307" si="164">+E308+E309+E310+E311+E312+E313</f>
        <v>39604590</v>
      </c>
      <c r="F307" s="87">
        <f t="shared" si="164"/>
        <v>11735755</v>
      </c>
      <c r="G307" s="87">
        <f t="shared" si="164"/>
        <v>0</v>
      </c>
      <c r="H307" s="87">
        <f t="shared" si="164"/>
        <v>51340345</v>
      </c>
      <c r="I307" s="87">
        <f>+I308+I309+I310+I311+I312+I313+I314</f>
        <v>125000</v>
      </c>
      <c r="J307" s="87">
        <f t="shared" ref="J307" si="165">+J308+J309+J310+J311+J312+J313+J314</f>
        <v>26200</v>
      </c>
      <c r="K307" s="87">
        <f>+K308+K309+K310+K311+K312+K313</f>
        <v>0</v>
      </c>
      <c r="L307" s="87">
        <f>+L308+L309+L310+L311+L312+L313</f>
        <v>151200</v>
      </c>
      <c r="M307" s="87">
        <f>+M308+M309+M310+M311+M312+M313</f>
        <v>51491545</v>
      </c>
      <c r="N307" s="84"/>
    </row>
    <row r="308" spans="1:17" s="78" customFormat="1" ht="15.75" x14ac:dyDescent="0.25">
      <c r="A308" s="79"/>
      <c r="B308" s="80"/>
      <c r="C308" s="90" t="s">
        <v>301</v>
      </c>
      <c r="D308" s="86"/>
      <c r="E308" s="89">
        <v>31184653</v>
      </c>
      <c r="F308" s="89">
        <v>9930254</v>
      </c>
      <c r="G308" s="84"/>
      <c r="H308" s="89">
        <f>E308+F308+G308</f>
        <v>41114907</v>
      </c>
      <c r="I308" s="89"/>
      <c r="J308" s="84"/>
      <c r="K308" s="84"/>
      <c r="L308" s="89">
        <f>I308+J308+K308</f>
        <v>0</v>
      </c>
      <c r="M308" s="89">
        <f t="shared" ref="M308:M314" si="166">H308+L308</f>
        <v>41114907</v>
      </c>
      <c r="N308" s="84"/>
    </row>
    <row r="309" spans="1:17" s="78" customFormat="1" ht="15.75" x14ac:dyDescent="0.25">
      <c r="A309" s="79"/>
      <c r="B309" s="107"/>
      <c r="C309" s="88" t="s">
        <v>302</v>
      </c>
      <c r="D309" s="86"/>
      <c r="E309" s="89">
        <v>0</v>
      </c>
      <c r="F309" s="89"/>
      <c r="G309" s="84"/>
      <c r="H309" s="89">
        <f>E309+F309+G309</f>
        <v>0</v>
      </c>
      <c r="I309" s="89">
        <v>125000</v>
      </c>
      <c r="J309" s="84"/>
      <c r="K309" s="84"/>
      <c r="L309" s="89">
        <f>I309+J309+K309</f>
        <v>125000</v>
      </c>
      <c r="M309" s="89">
        <f t="shared" si="166"/>
        <v>125000</v>
      </c>
      <c r="N309" s="84"/>
    </row>
    <row r="310" spans="1:17" s="78" customFormat="1" ht="15.75" x14ac:dyDescent="0.25">
      <c r="A310" s="79"/>
      <c r="B310" s="80"/>
      <c r="C310" s="88" t="s">
        <v>303</v>
      </c>
      <c r="D310" s="86"/>
      <c r="E310" s="89">
        <v>0</v>
      </c>
      <c r="F310" s="89"/>
      <c r="G310" s="84"/>
      <c r="H310" s="89">
        <f>E310+F310+G310</f>
        <v>0</v>
      </c>
      <c r="I310" s="89"/>
      <c r="J310" s="84"/>
      <c r="K310" s="84"/>
      <c r="L310" s="89">
        <f>I310+J310+K310</f>
        <v>0</v>
      </c>
      <c r="M310" s="89">
        <f t="shared" si="166"/>
        <v>0</v>
      </c>
      <c r="N310" s="84"/>
    </row>
    <row r="311" spans="1:17" s="78" customFormat="1" ht="15.75" x14ac:dyDescent="0.25">
      <c r="A311" s="79"/>
      <c r="B311" s="80"/>
      <c r="C311" s="88" t="s">
        <v>304</v>
      </c>
      <c r="D311" s="86"/>
      <c r="E311" s="89">
        <v>5669937</v>
      </c>
      <c r="F311" s="89">
        <v>1805501</v>
      </c>
      <c r="G311" s="84"/>
      <c r="H311" s="89">
        <f>E311+F311+G311</f>
        <v>7475438</v>
      </c>
      <c r="I311" s="89"/>
      <c r="J311" s="84">
        <v>26200</v>
      </c>
      <c r="K311" s="84"/>
      <c r="L311" s="89">
        <f>I311+J311+K311</f>
        <v>26200</v>
      </c>
      <c r="M311" s="89">
        <f t="shared" si="166"/>
        <v>7501638</v>
      </c>
      <c r="N311" s="84"/>
    </row>
    <row r="312" spans="1:17" s="78" customFormat="1" ht="15.75" x14ac:dyDescent="0.25">
      <c r="A312" s="79"/>
      <c r="B312" s="80"/>
      <c r="C312" s="90" t="s">
        <v>305</v>
      </c>
      <c r="D312" s="86"/>
      <c r="E312" s="89">
        <v>2750000</v>
      </c>
      <c r="F312" s="89"/>
      <c r="G312" s="84"/>
      <c r="H312" s="89">
        <f>E312+F312+G312</f>
        <v>2750000</v>
      </c>
      <c r="I312" s="89"/>
      <c r="J312" s="84"/>
      <c r="K312" s="84"/>
      <c r="L312" s="89">
        <f>I312+J312+K312</f>
        <v>0</v>
      </c>
      <c r="M312" s="89">
        <f t="shared" si="166"/>
        <v>2750000</v>
      </c>
      <c r="N312" s="84"/>
    </row>
    <row r="313" spans="1:17" s="78" customFormat="1" ht="15.75" x14ac:dyDescent="0.25">
      <c r="A313" s="79"/>
      <c r="B313" s="80"/>
      <c r="C313" s="108" t="s">
        <v>306</v>
      </c>
      <c r="D313" s="86"/>
      <c r="E313" s="89">
        <v>0</v>
      </c>
      <c r="F313" s="89"/>
      <c r="G313" s="84"/>
      <c r="H313" s="89"/>
      <c r="I313" s="89">
        <v>0</v>
      </c>
      <c r="J313" s="84"/>
      <c r="K313" s="84"/>
      <c r="L313" s="89"/>
      <c r="M313" s="87">
        <f t="shared" si="166"/>
        <v>0</v>
      </c>
      <c r="N313" s="84"/>
    </row>
    <row r="314" spans="1:17" s="78" customFormat="1" ht="16.5" thickBot="1" x14ac:dyDescent="0.3">
      <c r="A314" s="79"/>
      <c r="B314" s="80"/>
      <c r="C314" s="109" t="s">
        <v>307</v>
      </c>
      <c r="D314" s="95"/>
      <c r="E314" s="96"/>
      <c r="F314" s="96"/>
      <c r="G314" s="97"/>
      <c r="H314" s="96"/>
      <c r="I314" s="96"/>
      <c r="J314" s="97"/>
      <c r="K314" s="97"/>
      <c r="L314" s="96">
        <f>K314</f>
        <v>0</v>
      </c>
      <c r="M314" s="98">
        <f t="shared" si="166"/>
        <v>0</v>
      </c>
      <c r="N314" s="97"/>
    </row>
    <row r="315" spans="1:17" s="78" customFormat="1" ht="15.75" x14ac:dyDescent="0.25">
      <c r="A315" s="79"/>
      <c r="B315" s="80"/>
      <c r="C315" s="99" t="s">
        <v>311</v>
      </c>
      <c r="D315" s="103"/>
      <c r="E315" s="101">
        <f>+E307+E302+E313+E314</f>
        <v>404286090</v>
      </c>
      <c r="F315" s="101">
        <f t="shared" ref="F315:L315" si="167">+F307+F302+F313+F314</f>
        <v>111941055</v>
      </c>
      <c r="G315" s="101">
        <f t="shared" si="167"/>
        <v>0</v>
      </c>
      <c r="H315" s="101">
        <f t="shared" si="167"/>
        <v>516227145</v>
      </c>
      <c r="I315" s="101">
        <f t="shared" si="167"/>
        <v>85076274</v>
      </c>
      <c r="J315" s="101">
        <f t="shared" si="167"/>
        <v>58683680</v>
      </c>
      <c r="K315" s="101">
        <f t="shared" si="167"/>
        <v>34856444</v>
      </c>
      <c r="L315" s="101">
        <f t="shared" si="167"/>
        <v>178616398</v>
      </c>
      <c r="M315" s="101">
        <f>+M307+M302+M313+M314</f>
        <v>694843543</v>
      </c>
      <c r="N315" s="102"/>
      <c r="O315" s="92">
        <f>J315+F315</f>
        <v>170624735</v>
      </c>
    </row>
    <row r="316" spans="1:17" s="78" customFormat="1" ht="15.75" x14ac:dyDescent="0.25">
      <c r="A316" s="79"/>
      <c r="B316" s="80"/>
      <c r="C316" s="90" t="s">
        <v>312</v>
      </c>
      <c r="D316" s="86"/>
      <c r="E316" s="89"/>
      <c r="F316" s="89"/>
      <c r="G316" s="84"/>
      <c r="H316" s="84"/>
      <c r="I316" s="87">
        <v>0</v>
      </c>
      <c r="J316" s="84"/>
      <c r="K316" s="84"/>
      <c r="L316" s="87"/>
      <c r="M316" s="84">
        <f>M299-M315</f>
        <v>289723597</v>
      </c>
      <c r="N316" s="84"/>
    </row>
    <row r="317" spans="1:17" s="78" customFormat="1" ht="15" x14ac:dyDescent="0.2">
      <c r="A317" s="79"/>
      <c r="B317" s="80"/>
      <c r="C317" s="80"/>
      <c r="D317" s="80"/>
      <c r="E317" s="80"/>
      <c r="F317" s="80"/>
      <c r="G317" s="110"/>
      <c r="H317" s="80"/>
      <c r="I317" s="80"/>
      <c r="J317" s="111"/>
      <c r="K317" s="112"/>
      <c r="L317" s="80"/>
      <c r="M317" s="80"/>
      <c r="N317" s="80"/>
    </row>
    <row r="318" spans="1:17" s="78" customFormat="1" ht="15.75" customHeight="1" x14ac:dyDescent="0.2">
      <c r="A318" s="79"/>
      <c r="B318" s="107"/>
      <c r="C318" s="113"/>
      <c r="D318" s="107"/>
      <c r="E318" s="107"/>
      <c r="F318" s="107"/>
      <c r="G318" s="107"/>
      <c r="H318" s="107"/>
      <c r="I318" s="107"/>
      <c r="J318" s="114" t="s">
        <v>313</v>
      </c>
      <c r="K318" s="114"/>
      <c r="L318" s="114"/>
      <c r="M318" s="114"/>
      <c r="N318" s="115"/>
    </row>
    <row r="319" spans="1:17" s="78" customFormat="1" ht="15.75" x14ac:dyDescent="0.25">
      <c r="A319" s="79"/>
      <c r="B319" s="116"/>
      <c r="C319" s="117" t="s">
        <v>314</v>
      </c>
      <c r="D319" s="116"/>
      <c r="E319" s="116"/>
      <c r="F319" s="116"/>
      <c r="G319" s="117"/>
      <c r="H319" s="118"/>
      <c r="I319" s="119"/>
      <c r="J319" s="116"/>
      <c r="M319" s="116"/>
      <c r="N319" s="120"/>
      <c r="P319" s="121"/>
      <c r="Q319" s="121"/>
    </row>
    <row r="320" spans="1:17" s="125" customFormat="1" ht="15.75" customHeight="1" x14ac:dyDescent="0.2">
      <c r="A320" s="122"/>
      <c r="B320" s="107"/>
      <c r="C320" s="117" t="s">
        <v>315</v>
      </c>
      <c r="D320" s="107"/>
      <c r="E320" s="107"/>
      <c r="F320" s="107"/>
      <c r="G320" s="117"/>
      <c r="H320" s="123"/>
      <c r="I320" s="124"/>
      <c r="J320" s="114" t="s">
        <v>316</v>
      </c>
      <c r="K320" s="114"/>
      <c r="L320" s="114"/>
      <c r="M320" s="114"/>
      <c r="N320" s="115"/>
      <c r="P320" s="126"/>
      <c r="Q320" s="126"/>
    </row>
    <row r="321" spans="1:17" s="125" customFormat="1" ht="15.75" x14ac:dyDescent="0.25">
      <c r="A321" s="122"/>
      <c r="B321" s="107"/>
      <c r="C321" s="107"/>
      <c r="D321" s="107"/>
      <c r="E321" s="107"/>
      <c r="F321" s="107"/>
      <c r="G321" s="107"/>
      <c r="H321" s="123"/>
      <c r="I321" s="124"/>
      <c r="J321" s="107"/>
      <c r="M321" s="107"/>
      <c r="N321" s="115"/>
      <c r="P321" s="127"/>
      <c r="Q321" s="128"/>
    </row>
    <row r="322" spans="1:17" s="78" customFormat="1" ht="15" x14ac:dyDescent="0.2">
      <c r="A322" s="79"/>
      <c r="B322" s="107"/>
      <c r="C322" s="107"/>
      <c r="D322" s="107"/>
      <c r="E322" s="107"/>
      <c r="F322" s="107"/>
      <c r="G322" s="107"/>
      <c r="H322" s="123"/>
      <c r="I322" s="107"/>
      <c r="J322" s="107"/>
      <c r="M322" s="107"/>
      <c r="N322" s="115"/>
    </row>
    <row r="323" spans="1:17" s="78" customFormat="1" ht="15" x14ac:dyDescent="0.2">
      <c r="A323" s="79"/>
      <c r="B323" s="107"/>
      <c r="C323" s="107"/>
      <c r="D323" s="107"/>
      <c r="E323" s="107"/>
      <c r="F323" s="107"/>
      <c r="G323" s="107"/>
      <c r="H323" s="107"/>
      <c r="I323" s="107" t="s">
        <v>317</v>
      </c>
      <c r="J323" s="107"/>
      <c r="M323" s="107"/>
      <c r="N323" s="115"/>
      <c r="O323" s="78" t="s">
        <v>318</v>
      </c>
    </row>
    <row r="324" spans="1:17" s="78" customFormat="1" ht="15" x14ac:dyDescent="0.2">
      <c r="A324" s="79"/>
      <c r="B324" s="107"/>
      <c r="C324" s="107"/>
      <c r="D324" s="107"/>
      <c r="E324" s="107"/>
      <c r="F324" s="107"/>
      <c r="G324" s="107"/>
      <c r="H324" s="107"/>
      <c r="I324" s="107"/>
      <c r="J324" s="107"/>
      <c r="M324" s="107"/>
      <c r="N324" s="115"/>
      <c r="O324" s="78" t="s">
        <v>319</v>
      </c>
    </row>
    <row r="325" spans="1:17" s="78" customFormat="1" ht="15.75" x14ac:dyDescent="0.25">
      <c r="A325" s="79"/>
      <c r="B325" s="116"/>
      <c r="C325" s="129" t="s">
        <v>320</v>
      </c>
      <c r="D325" s="107"/>
      <c r="E325" s="116"/>
      <c r="F325" s="116"/>
      <c r="G325" s="130"/>
      <c r="H325" s="116"/>
      <c r="I325" s="116"/>
      <c r="J325" s="131" t="s">
        <v>318</v>
      </c>
      <c r="K325" s="131"/>
      <c r="L325" s="131"/>
      <c r="M325" s="131"/>
      <c r="N325" s="120"/>
      <c r="O325" s="78" t="s">
        <v>321</v>
      </c>
    </row>
    <row r="326" spans="1:17" s="125" customFormat="1" ht="15.75" customHeight="1" x14ac:dyDescent="0.2">
      <c r="A326" s="122"/>
      <c r="B326" s="107"/>
      <c r="C326" s="132" t="s">
        <v>322</v>
      </c>
      <c r="D326" s="107"/>
      <c r="E326" s="107"/>
      <c r="F326" s="107"/>
      <c r="G326" s="133"/>
      <c r="H326" s="107"/>
      <c r="I326" s="107"/>
      <c r="J326" s="114" t="s">
        <v>319</v>
      </c>
      <c r="K326" s="114"/>
      <c r="L326" s="114"/>
      <c r="M326" s="114"/>
      <c r="N326" s="115"/>
    </row>
    <row r="327" spans="1:17" s="125" customFormat="1" ht="16.5" customHeight="1" thickBot="1" x14ac:dyDescent="0.25">
      <c r="A327" s="134"/>
      <c r="B327" s="135"/>
      <c r="C327" s="132" t="s">
        <v>323</v>
      </c>
      <c r="D327" s="135"/>
      <c r="E327" s="135"/>
      <c r="F327" s="135"/>
      <c r="G327" s="136"/>
      <c r="H327" s="135"/>
      <c r="I327" s="135"/>
      <c r="J327" s="137" t="s">
        <v>321</v>
      </c>
      <c r="K327" s="137"/>
      <c r="L327" s="137"/>
      <c r="M327" s="137"/>
      <c r="N327" s="138"/>
    </row>
  </sheetData>
  <mergeCells count="17">
    <mergeCell ref="J326:M326"/>
    <mergeCell ref="J327:M327"/>
    <mergeCell ref="N6:N7"/>
    <mergeCell ref="A283:B283"/>
    <mergeCell ref="J318:M318"/>
    <mergeCell ref="J320:M320"/>
    <mergeCell ref="P321:Q321"/>
    <mergeCell ref="J325:M325"/>
    <mergeCell ref="B1:M1"/>
    <mergeCell ref="B2:M2"/>
    <mergeCell ref="A6:A7"/>
    <mergeCell ref="B6:B7"/>
    <mergeCell ref="C6:C7"/>
    <mergeCell ref="D6:D7"/>
    <mergeCell ref="E6:H6"/>
    <mergeCell ref="I6:L6"/>
    <mergeCell ref="M6:M7"/>
  </mergeCells>
  <printOptions horizontalCentered="1"/>
  <pageMargins left="0" right="0.19685039370078741" top="0" bottom="0" header="0" footer="0"/>
  <pageSetup paperSize="10000" scale="49" fitToHeight="4" orientation="landscape" r:id="rId1"/>
  <headerFooter alignWithMargins="0"/>
  <rowBreaks count="3" manualBreakCount="3">
    <brk id="92" max="13" man="1"/>
    <brk id="188" max="13" man="1"/>
    <brk id="260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MARET 2026</vt:lpstr>
      <vt:lpstr>'MARET 2026'!Print_Area</vt:lpstr>
      <vt:lpstr>'MARET 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Fajar Muzaky</dc:creator>
  <cp:lastModifiedBy>M Fajar Muzaky</cp:lastModifiedBy>
  <dcterms:created xsi:type="dcterms:W3CDTF">2026-05-13T04:38:09Z</dcterms:created>
  <dcterms:modified xsi:type="dcterms:W3CDTF">2026-05-13T04:38:53Z</dcterms:modified>
</cp:coreProperties>
</file>