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6022128-139F-4DC8-B101-6D0AB6700C28}" xr6:coauthVersionLast="47" xr6:coauthVersionMax="47" xr10:uidLastSave="{00000000-0000-0000-0000-000000000000}"/>
  <bookViews>
    <workbookView xWindow="-120" yWindow="-120" windowWidth="28320" windowHeight="18240" xr2:uid="{B66AE109-72F1-4570-8C8B-CD106A75D113}"/>
  </bookViews>
  <sheets>
    <sheet name="LPJ 2026" sheetId="1" r:id="rId1"/>
  </sheets>
  <externalReferences>
    <externalReference r:id="rId2"/>
    <externalReference r:id="rId3"/>
  </externalReferences>
  <definedNames>
    <definedName name="___new3">#REF!</definedName>
    <definedName name="_new3">#REF!</definedName>
    <definedName name="a">#REF!</definedName>
    <definedName name="aa" localSheetId="0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bdul">#REF!</definedName>
    <definedName name="Analisa_Biaya" localSheetId="0">#REF!</definedName>
    <definedName name="Analisa_Biaya">#REF!</definedName>
    <definedName name="aprias">#REF!</definedName>
    <definedName name="april">#REF!</definedName>
    <definedName name="asd">#REF!</definedName>
    <definedName name="asdada">#REF!</definedName>
    <definedName name="asdasasasa" localSheetId="0">#REF!</definedName>
    <definedName name="asdasasasa">#REF!</definedName>
    <definedName name="ASDEDA">#REF!</definedName>
    <definedName name="asdedas">#REF!</definedName>
    <definedName name="asdsfasf" localSheetId="0">#REF!</definedName>
    <definedName name="asdsfasf">#REF!</definedName>
    <definedName name="asli">#REF!</definedName>
    <definedName name="ayam">#REF!</definedName>
    <definedName name="badan">#REF!</definedName>
    <definedName name="bangsos">#REF!</definedName>
    <definedName name="BARUPISAN">#REF!</definedName>
    <definedName name="bbb">#REF!</definedName>
    <definedName name="bbbbbbbbbb">#REF!</definedName>
    <definedName name="bidang6">#REF!</definedName>
    <definedName name="bidang7">#REF!</definedName>
    <definedName name="BNP">#REF!</definedName>
    <definedName name="BP3AKB">#REF!</definedName>
    <definedName name="BPMD">#REF!</definedName>
    <definedName name="cimplung">#REF!</definedName>
    <definedName name="cimprung">#REF!</definedName>
    <definedName name="csalkdjslfxsf">#REF!</definedName>
    <definedName name="d" localSheetId="0">#REF!</definedName>
    <definedName name="d">#REF!</definedName>
    <definedName name="dadad">#REF!</definedName>
    <definedName name="dari_darohman">#REF!</definedName>
    <definedName name="data" localSheetId="0">#REF!</definedName>
    <definedName name="data">#REF!</definedName>
    <definedName name="dd" localSheetId="0">#REF!</definedName>
    <definedName name="dd">#REF!</definedName>
    <definedName name="ddddddd">#REF!</definedName>
    <definedName name="ddkkslala">#REF!</definedName>
    <definedName name="ded" localSheetId="0">#REF!</definedName>
    <definedName name="ded">#REF!</definedName>
    <definedName name="dedei">#REF!</definedName>
    <definedName name="dedi" localSheetId="0">#REF!</definedName>
    <definedName name="dedi">#REF!</definedName>
    <definedName name="dedi2">#REF!</definedName>
    <definedName name="dgfhg">#REF!</definedName>
    <definedName name="diding">#REF!</definedName>
    <definedName name="diklat">#REF!</definedName>
    <definedName name="DINSISIIS">#REF!</definedName>
    <definedName name="DINSKANE">#REF!</definedName>
    <definedName name="DINSOS">#REF!</definedName>
    <definedName name="DISKIMRUM">#REF!</definedName>
    <definedName name="disnaker">#REF!</definedName>
    <definedName name="disnakertrans">#REF!</definedName>
    <definedName name="disperindag">#REF!</definedName>
    <definedName name="dispnda" localSheetId="0">#REF!</definedName>
    <definedName name="dispnda">#REF!</definedName>
    <definedName name="dodol">#REF!</definedName>
    <definedName name="DPMD">#REF!</definedName>
    <definedName name="DPMDESA">#REF!</definedName>
    <definedName name="ds" localSheetId="0">#REF!</definedName>
    <definedName name="ds">#REF!</definedName>
    <definedName name="DSES">#REF!</definedName>
    <definedName name="dudung">#REF!</definedName>
    <definedName name="dunk">#REF!</definedName>
    <definedName name="Excel_BuiltIn_Print_Area_3" localSheetId="0">#REF!</definedName>
    <definedName name="Excel_BuiltIn_Print_Area_3">#REF!</definedName>
    <definedName name="Excel_BuiltIn_Print_Area_5" localSheetId="0">#REF!</definedName>
    <definedName name="Excel_BuiltIn_Print_Area_5">#REF!</definedName>
    <definedName name="Excel_BuiltIn_Print_Area_6" localSheetId="0">#REF!</definedName>
    <definedName name="Excel_BuiltIn_Print_Area_6">#REF!</definedName>
    <definedName name="Excel_BuiltIn_Print_Titles_3" localSheetId="0">#REF!</definedName>
    <definedName name="Excel_BuiltIn_Print_Titles_3">#REF!</definedName>
    <definedName name="Excel_BuiltIn_Print_Titles_5" localSheetId="0">#REF!</definedName>
    <definedName name="Excel_BuiltIn_Print_Titles_5">#REF!</definedName>
    <definedName name="Excel_BuiltIn_Print_Titles_6" localSheetId="0">#REF!</definedName>
    <definedName name="Excel_BuiltIn_Print_Titles_6">#REF!</definedName>
    <definedName name="exchange">#REF!</definedName>
    <definedName name="fauzi">#REF!</definedName>
    <definedName name="fauzii">#REF!</definedName>
    <definedName name="fff">#REF!</definedName>
    <definedName name="FGUYGKJNL">#REF!</definedName>
    <definedName name="gendut">#REF!</definedName>
    <definedName name="gerandong">#REF!</definedName>
    <definedName name="iii">#REF!</definedName>
    <definedName name="IIN">#REF!</definedName>
    <definedName name="INDAG">#REF!</definedName>
    <definedName name="jatuh">#REF!</definedName>
    <definedName name="JHGJB">#REF!</definedName>
    <definedName name="Juni">#REF!</definedName>
    <definedName name="k">#REF!</definedName>
    <definedName name="KDIJDI">#REF!</definedName>
    <definedName name="kecipring">#REF!</definedName>
    <definedName name="kinanti">#REF!</definedName>
    <definedName name="KODE" localSheetId="0">#REF!</definedName>
    <definedName name="KODE">#REF!</definedName>
    <definedName name="koko">#REF!</definedName>
    <definedName name="KPP" localSheetId="0">#REF!</definedName>
    <definedName name="KPP">#REF!</definedName>
    <definedName name="lap">#REF!</definedName>
    <definedName name="lll">#REF!</definedName>
    <definedName name="malam">#REF!</definedName>
    <definedName name="MARET">#REF!</definedName>
    <definedName name="Mei">#REF!</definedName>
    <definedName name="MRT" localSheetId="0">#REF!</definedName>
    <definedName name="MRT">#REF!</definedName>
    <definedName name="nb" localSheetId="0">#REF!</definedName>
    <definedName name="nb">#REF!</definedName>
    <definedName name="newbaru">#REF!</definedName>
    <definedName name="newpagu">#REF!</definedName>
    <definedName name="nining">#REF!</definedName>
    <definedName name="Noncuyy">#REF!</definedName>
    <definedName name="odading">#REF!</definedName>
    <definedName name="oke">#REF!</definedName>
    <definedName name="paguppas">#REF!</definedName>
    <definedName name="paguppascopi">#REF!</definedName>
    <definedName name="pariwisata">#REF!</definedName>
    <definedName name="PEM_PEREM">#REF!</definedName>
    <definedName name="pemberdayaanmasya">#REF!</definedName>
    <definedName name="penyesuaianpagu">#REF!</definedName>
    <definedName name="per">#REF!</definedName>
    <definedName name="perbidang">#REF!</definedName>
    <definedName name="perbidangdbg">#REF!</definedName>
    <definedName name="perencanaan">#REF!</definedName>
    <definedName name="peronding">#REF!</definedName>
    <definedName name="ppas">#REF!</definedName>
    <definedName name="_xlnm.Print_Area" localSheetId="0">'LPJ 2026'!$A$1:$T$119</definedName>
    <definedName name="ramping">#REF!</definedName>
    <definedName name="Ranking" localSheetId="0">#REF!</definedName>
    <definedName name="Ranking">#REF!</definedName>
    <definedName name="renstra">#REF!</definedName>
    <definedName name="rerendo">#REF!</definedName>
    <definedName name="restarea">#REF!</definedName>
    <definedName name="salaah">#REF!</definedName>
    <definedName name="SDADAE">#REF!</definedName>
    <definedName name="SDEAD">#REF!</definedName>
    <definedName name="sdfdsg" localSheetId="0">#REF!</definedName>
    <definedName name="sdfdsg">#REF!</definedName>
    <definedName name="sef">#REF!</definedName>
    <definedName name="sekret">#REF!</definedName>
    <definedName name="SHNSHNS">#REF!</definedName>
    <definedName name="soe">#REF!</definedName>
    <definedName name="ss">#REF!</definedName>
    <definedName name="sss" localSheetId="0">#REF!</definedName>
    <definedName name="sss">#REF!</definedName>
    <definedName name="ssss" localSheetId="0">#REF!</definedName>
    <definedName name="ssss">#REF!</definedName>
    <definedName name="sssss" localSheetId="0">#REF!</definedName>
    <definedName name="sssss">#REF!</definedName>
    <definedName name="SUKARAJA" localSheetId="0">#REF!</definedName>
    <definedName name="SUKARAJA">#REF!</definedName>
    <definedName name="tabel">#REF!</definedName>
    <definedName name="tata">#REF!</definedName>
    <definedName name="tatadado">#REF!</definedName>
    <definedName name="TEST">#REF!</definedName>
    <definedName name="toni">#REF!</definedName>
    <definedName name="transmigrasi">#REF!</definedName>
    <definedName name="tulsnv">#REF!</definedName>
    <definedName name="URUSAN">#REF!</definedName>
    <definedName name="usulan">#REF!</definedName>
    <definedName name="vsdfsdfsdf" localSheetId="0">#REF!</definedName>
    <definedName name="vsdfsdfsdf">#REF!</definedName>
    <definedName name="weklsfksa">#REF!</definedName>
    <definedName name="wer">#REF!</definedName>
    <definedName name="ww">#REF!</definedName>
    <definedName name="www">#REF!</definedName>
    <definedName name="wwwww" localSheetId="0">#REF!</definedName>
    <definedName name="wwwww">#REF!</definedName>
    <definedName name="xpander">#REF!</definedName>
    <definedName name="xxx" localSheetId="0">#REF!</definedName>
    <definedName name="xxx">#REF!</definedName>
    <definedName name="xxxxxxx" localSheetId="0">#REF!</definedName>
    <definedName name="xxxxxxx">#REF!</definedName>
    <definedName name="Yansos">#REF!</definedName>
    <definedName name="z">#REF!</definedName>
    <definedName name="z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21" i="1" l="1"/>
  <c r="U109" i="1"/>
  <c r="N109" i="1"/>
  <c r="K109" i="1"/>
  <c r="J109" i="1"/>
  <c r="S108" i="1"/>
  <c r="R108" i="1"/>
  <c r="Q107" i="1"/>
  <c r="R107" i="1" s="1"/>
  <c r="S107" i="1" s="1"/>
  <c r="O107" i="1"/>
  <c r="L107" i="1"/>
  <c r="R106" i="1"/>
  <c r="P106" i="1"/>
  <c r="P101" i="1" s="1"/>
  <c r="P109" i="1" s="1"/>
  <c r="O106" i="1"/>
  <c r="L106" i="1"/>
  <c r="S106" i="1" s="1"/>
  <c r="R105" i="1"/>
  <c r="O105" i="1"/>
  <c r="L105" i="1"/>
  <c r="S105" i="1" s="1"/>
  <c r="R104" i="1"/>
  <c r="S104" i="1" s="1"/>
  <c r="O104" i="1"/>
  <c r="L104" i="1"/>
  <c r="R103" i="1"/>
  <c r="O103" i="1"/>
  <c r="L103" i="1"/>
  <c r="S103" i="1" s="1"/>
  <c r="R102" i="1"/>
  <c r="S102" i="1" s="1"/>
  <c r="O102" i="1"/>
  <c r="O101" i="1" s="1"/>
  <c r="L102" i="1"/>
  <c r="U101" i="1"/>
  <c r="Q101" i="1"/>
  <c r="Q109" i="1" s="1"/>
  <c r="W112" i="1" s="1"/>
  <c r="N101" i="1"/>
  <c r="M101" i="1"/>
  <c r="L101" i="1"/>
  <c r="R100" i="1"/>
  <c r="S100" i="1" s="1"/>
  <c r="Q100" i="1"/>
  <c r="O100" i="1"/>
  <c r="L100" i="1"/>
  <c r="U99" i="1"/>
  <c r="R99" i="1"/>
  <c r="S99" i="1" s="1"/>
  <c r="O99" i="1"/>
  <c r="L99" i="1"/>
  <c r="R98" i="1"/>
  <c r="O98" i="1"/>
  <c r="O96" i="1" s="1"/>
  <c r="L98" i="1"/>
  <c r="S98" i="1" s="1"/>
  <c r="U97" i="1"/>
  <c r="R97" i="1"/>
  <c r="O97" i="1"/>
  <c r="L97" i="1"/>
  <c r="S97" i="1" s="1"/>
  <c r="U96" i="1"/>
  <c r="R96" i="1"/>
  <c r="Q96" i="1"/>
  <c r="P96" i="1"/>
  <c r="N96" i="1"/>
  <c r="L96" i="1"/>
  <c r="L109" i="1" s="1"/>
  <c r="U94" i="1"/>
  <c r="K94" i="1"/>
  <c r="J94" i="1"/>
  <c r="R93" i="1"/>
  <c r="S93" i="1" s="1"/>
  <c r="R92" i="1"/>
  <c r="Q92" i="1"/>
  <c r="O92" i="1"/>
  <c r="L92" i="1"/>
  <c r="S92" i="1" s="1"/>
  <c r="V91" i="1"/>
  <c r="U91" i="1"/>
  <c r="S91" i="1"/>
  <c r="R91" i="1"/>
  <c r="O91" i="1"/>
  <c r="L91" i="1"/>
  <c r="U90" i="1"/>
  <c r="R90" i="1"/>
  <c r="N90" i="1"/>
  <c r="O90" i="1" s="1"/>
  <c r="S90" i="1" s="1"/>
  <c r="L90" i="1"/>
  <c r="U89" i="1"/>
  <c r="S89" i="1"/>
  <c r="R89" i="1"/>
  <c r="O89" i="1"/>
  <c r="L89" i="1"/>
  <c r="U88" i="1"/>
  <c r="R88" i="1"/>
  <c r="S88" i="1" s="1"/>
  <c r="O88" i="1"/>
  <c r="L88" i="1"/>
  <c r="U87" i="1"/>
  <c r="R87" i="1"/>
  <c r="O87" i="1"/>
  <c r="O86" i="1" s="1"/>
  <c r="O94" i="1" s="1"/>
  <c r="L87" i="1"/>
  <c r="L86" i="1" s="1"/>
  <c r="L94" i="1" s="1"/>
  <c r="U86" i="1"/>
  <c r="Q86" i="1"/>
  <c r="Q94" i="1" s="1"/>
  <c r="P86" i="1"/>
  <c r="P94" i="1" s="1"/>
  <c r="N86" i="1"/>
  <c r="N94" i="1" s="1"/>
  <c r="M86" i="1"/>
  <c r="M94" i="1" s="1"/>
  <c r="K86" i="1"/>
  <c r="J86" i="1"/>
  <c r="Y85" i="1"/>
  <c r="Y86" i="1" s="1"/>
  <c r="S85" i="1"/>
  <c r="R85" i="1"/>
  <c r="L85" i="1"/>
  <c r="Y84" i="1"/>
  <c r="R84" i="1"/>
  <c r="O84" i="1"/>
  <c r="L84" i="1"/>
  <c r="S84" i="1" s="1"/>
  <c r="R83" i="1"/>
  <c r="O83" i="1"/>
  <c r="L83" i="1"/>
  <c r="S83" i="1" s="1"/>
  <c r="R82" i="1"/>
  <c r="O82" i="1"/>
  <c r="L82" i="1"/>
  <c r="S82" i="1" s="1"/>
  <c r="R81" i="1"/>
  <c r="R80" i="1" s="1"/>
  <c r="L81" i="1"/>
  <c r="S81" i="1" s="1"/>
  <c r="S80" i="1" s="1"/>
  <c r="V80" i="1" s="1"/>
  <c r="U80" i="1"/>
  <c r="Q80" i="1"/>
  <c r="P80" i="1"/>
  <c r="O80" i="1"/>
  <c r="N80" i="1"/>
  <c r="M80" i="1"/>
  <c r="L80" i="1"/>
  <c r="Y76" i="1"/>
  <c r="S76" i="1"/>
  <c r="T76" i="1" s="1"/>
  <c r="R76" i="1"/>
  <c r="O76" i="1"/>
  <c r="L76" i="1"/>
  <c r="Y75" i="1"/>
  <c r="R75" i="1"/>
  <c r="S75" i="1" s="1"/>
  <c r="O75" i="1"/>
  <c r="L75" i="1"/>
  <c r="Y74" i="1"/>
  <c r="R74" i="1"/>
  <c r="S74" i="1" s="1"/>
  <c r="O74" i="1"/>
  <c r="L74" i="1"/>
  <c r="L72" i="1" s="1"/>
  <c r="Y73" i="1"/>
  <c r="R73" i="1"/>
  <c r="R72" i="1" s="1"/>
  <c r="Y72" i="1"/>
  <c r="Q72" i="1"/>
  <c r="P72" i="1"/>
  <c r="O72" i="1"/>
  <c r="N72" i="1"/>
  <c r="M72" i="1"/>
  <c r="K72" i="1"/>
  <c r="J72" i="1"/>
  <c r="I72" i="1"/>
  <c r="Y71" i="1"/>
  <c r="W71" i="1"/>
  <c r="S71" i="1"/>
  <c r="T71" i="1" s="1"/>
  <c r="R71" i="1"/>
  <c r="AD70" i="1"/>
  <c r="Y70" i="1"/>
  <c r="S70" i="1"/>
  <c r="T70" i="1" s="1"/>
  <c r="U74" i="1" s="1"/>
  <c r="R70" i="1"/>
  <c r="AD69" i="1"/>
  <c r="Y69" i="1"/>
  <c r="R69" i="1"/>
  <c r="R68" i="1" s="1"/>
  <c r="Y68" i="1"/>
  <c r="Q68" i="1"/>
  <c r="P68" i="1"/>
  <c r="O68" i="1"/>
  <c r="N68" i="1"/>
  <c r="M68" i="1"/>
  <c r="L68" i="1"/>
  <c r="K68" i="1"/>
  <c r="J68" i="1"/>
  <c r="I68" i="1"/>
  <c r="Y67" i="1"/>
  <c r="W67" i="1"/>
  <c r="S67" i="1"/>
  <c r="T67" i="1" s="1"/>
  <c r="R67" i="1"/>
  <c r="O67" i="1"/>
  <c r="L67" i="1"/>
  <c r="Y66" i="1"/>
  <c r="R66" i="1"/>
  <c r="O66" i="1"/>
  <c r="L66" i="1"/>
  <c r="S66" i="1" s="1"/>
  <c r="Y65" i="1"/>
  <c r="R65" i="1"/>
  <c r="O65" i="1"/>
  <c r="L65" i="1"/>
  <c r="S65" i="1" s="1"/>
  <c r="Y64" i="1"/>
  <c r="S64" i="1"/>
  <c r="T64" i="1" s="1"/>
  <c r="R64" i="1"/>
  <c r="O64" i="1"/>
  <c r="L64" i="1"/>
  <c r="Y63" i="1"/>
  <c r="R63" i="1"/>
  <c r="S63" i="1" s="1"/>
  <c r="O63" i="1"/>
  <c r="O62" i="1" s="1"/>
  <c r="L63" i="1"/>
  <c r="L62" i="1" s="1"/>
  <c r="R62" i="1"/>
  <c r="Q62" i="1"/>
  <c r="P62" i="1"/>
  <c r="Y62" i="1" s="1"/>
  <c r="N62" i="1"/>
  <c r="M62" i="1"/>
  <c r="K62" i="1"/>
  <c r="J62" i="1"/>
  <c r="I62" i="1"/>
  <c r="Y61" i="1"/>
  <c r="R61" i="1"/>
  <c r="R59" i="1" s="1"/>
  <c r="O61" i="1"/>
  <c r="L61" i="1"/>
  <c r="S61" i="1" s="1"/>
  <c r="Y60" i="1"/>
  <c r="R60" i="1"/>
  <c r="O60" i="1"/>
  <c r="L60" i="1"/>
  <c r="L59" i="1" s="1"/>
  <c r="Y59" i="1"/>
  <c r="Q59" i="1"/>
  <c r="P59" i="1"/>
  <c r="O59" i="1"/>
  <c r="N59" i="1"/>
  <c r="M59" i="1"/>
  <c r="K59" i="1"/>
  <c r="J59" i="1"/>
  <c r="I59" i="1"/>
  <c r="Y58" i="1"/>
  <c r="W58" i="1"/>
  <c r="S58" i="1"/>
  <c r="T58" i="1" s="1"/>
  <c r="R58" i="1"/>
  <c r="O58" i="1"/>
  <c r="L58" i="1"/>
  <c r="Y57" i="1"/>
  <c r="R57" i="1"/>
  <c r="O57" i="1"/>
  <c r="L57" i="1"/>
  <c r="S57" i="1" s="1"/>
  <c r="Y56" i="1"/>
  <c r="R56" i="1"/>
  <c r="O56" i="1"/>
  <c r="O55" i="1" s="1"/>
  <c r="L56" i="1"/>
  <c r="S56" i="1" s="1"/>
  <c r="R55" i="1"/>
  <c r="Q55" i="1"/>
  <c r="P55" i="1"/>
  <c r="Y55" i="1" s="1"/>
  <c r="N55" i="1"/>
  <c r="M55" i="1"/>
  <c r="L55" i="1"/>
  <c r="K55" i="1"/>
  <c r="J55" i="1"/>
  <c r="I55" i="1"/>
  <c r="Y54" i="1"/>
  <c r="R54" i="1"/>
  <c r="S54" i="1" s="1"/>
  <c r="O54" i="1"/>
  <c r="L54" i="1"/>
  <c r="Y53" i="1"/>
  <c r="R53" i="1"/>
  <c r="T53" i="1" s="1"/>
  <c r="Y52" i="1"/>
  <c r="R52" i="1"/>
  <c r="O52" i="1"/>
  <c r="L52" i="1"/>
  <c r="S52" i="1" s="1"/>
  <c r="Q51" i="1"/>
  <c r="P51" i="1"/>
  <c r="Y51" i="1" s="1"/>
  <c r="O51" i="1"/>
  <c r="N51" i="1"/>
  <c r="M51" i="1"/>
  <c r="K51" i="1"/>
  <c r="J51" i="1"/>
  <c r="I51" i="1"/>
  <c r="V51" i="1" s="1"/>
  <c r="Y50" i="1"/>
  <c r="R50" i="1"/>
  <c r="S50" i="1" s="1"/>
  <c r="O50" i="1"/>
  <c r="Y49" i="1"/>
  <c r="R49" i="1"/>
  <c r="S49" i="1" s="1"/>
  <c r="O49" i="1"/>
  <c r="Y48" i="1"/>
  <c r="R48" i="1"/>
  <c r="R44" i="1" s="1"/>
  <c r="O48" i="1"/>
  <c r="Y47" i="1"/>
  <c r="R47" i="1"/>
  <c r="O47" i="1"/>
  <c r="S47" i="1" s="1"/>
  <c r="Y46" i="1"/>
  <c r="R46" i="1"/>
  <c r="S46" i="1" s="1"/>
  <c r="O46" i="1"/>
  <c r="Y45" i="1"/>
  <c r="R45" i="1"/>
  <c r="S45" i="1" s="1"/>
  <c r="O45" i="1"/>
  <c r="O44" i="1" s="1"/>
  <c r="Q44" i="1"/>
  <c r="P44" i="1"/>
  <c r="Y44" i="1" s="1"/>
  <c r="N44" i="1"/>
  <c r="M44" i="1"/>
  <c r="V44" i="1" s="1"/>
  <c r="L44" i="1"/>
  <c r="K44" i="1"/>
  <c r="J44" i="1"/>
  <c r="I44" i="1"/>
  <c r="Y43" i="1"/>
  <c r="R43" i="1"/>
  <c r="S43" i="1" s="1"/>
  <c r="O43" i="1"/>
  <c r="L43" i="1"/>
  <c r="Y42" i="1"/>
  <c r="R42" i="1"/>
  <c r="S42" i="1" s="1"/>
  <c r="O42" i="1"/>
  <c r="L42" i="1"/>
  <c r="Y41" i="1"/>
  <c r="R41" i="1"/>
  <c r="S41" i="1" s="1"/>
  <c r="O41" i="1"/>
  <c r="L41" i="1"/>
  <c r="L40" i="1" s="1"/>
  <c r="Q40" i="1"/>
  <c r="P40" i="1"/>
  <c r="O40" i="1"/>
  <c r="M40" i="1"/>
  <c r="K40" i="1"/>
  <c r="J40" i="1"/>
  <c r="I40" i="1"/>
  <c r="Y39" i="1"/>
  <c r="R39" i="1"/>
  <c r="R38" i="1" s="1"/>
  <c r="O39" i="1"/>
  <c r="L39" i="1"/>
  <c r="S39" i="1" s="1"/>
  <c r="Q38" i="1"/>
  <c r="P38" i="1"/>
  <c r="O38" i="1"/>
  <c r="N38" i="1"/>
  <c r="M38" i="1"/>
  <c r="L38" i="1"/>
  <c r="K38" i="1"/>
  <c r="J38" i="1"/>
  <c r="I38" i="1"/>
  <c r="Y37" i="1"/>
  <c r="S37" i="1"/>
  <c r="T37" i="1" s="1"/>
  <c r="R37" i="1"/>
  <c r="O37" i="1"/>
  <c r="L37" i="1"/>
  <c r="Y36" i="1"/>
  <c r="R36" i="1"/>
  <c r="S36" i="1" s="1"/>
  <c r="O36" i="1"/>
  <c r="L36" i="1"/>
  <c r="L34" i="1" s="1"/>
  <c r="Y35" i="1"/>
  <c r="R35" i="1"/>
  <c r="R34" i="1" s="1"/>
  <c r="O35" i="1"/>
  <c r="O34" i="1" s="1"/>
  <c r="L35" i="1"/>
  <c r="S35" i="1" s="1"/>
  <c r="Q34" i="1"/>
  <c r="P34" i="1"/>
  <c r="N34" i="1"/>
  <c r="M34" i="1"/>
  <c r="K34" i="1"/>
  <c r="J34" i="1"/>
  <c r="I34" i="1"/>
  <c r="Y33" i="1"/>
  <c r="R33" i="1"/>
  <c r="R32" i="1" s="1"/>
  <c r="O33" i="1"/>
  <c r="L33" i="1"/>
  <c r="S33" i="1" s="1"/>
  <c r="Q32" i="1"/>
  <c r="P32" i="1"/>
  <c r="O32" i="1"/>
  <c r="N32" i="1"/>
  <c r="N78" i="1" s="1"/>
  <c r="M32" i="1"/>
  <c r="M78" i="1" s="1"/>
  <c r="M96" i="1" s="1"/>
  <c r="L32" i="1"/>
  <c r="K32" i="1"/>
  <c r="J32" i="1"/>
  <c r="I32" i="1"/>
  <c r="V53" i="1" s="1"/>
  <c r="Y31" i="1"/>
  <c r="R31" i="1"/>
  <c r="O31" i="1"/>
  <c r="L31" i="1"/>
  <c r="S31" i="1" s="1"/>
  <c r="V30" i="1"/>
  <c r="R30" i="1"/>
  <c r="O30" i="1"/>
  <c r="L30" i="1"/>
  <c r="S30" i="1" s="1"/>
  <c r="S29" i="1"/>
  <c r="T29" i="1" s="1"/>
  <c r="R29" i="1"/>
  <c r="O29" i="1"/>
  <c r="O28" i="1" s="1"/>
  <c r="L29" i="1"/>
  <c r="R28" i="1"/>
  <c r="Q28" i="1"/>
  <c r="P28" i="1"/>
  <c r="N28" i="1"/>
  <c r="M28" i="1"/>
  <c r="K28" i="1"/>
  <c r="J28" i="1"/>
  <c r="I28" i="1"/>
  <c r="R27" i="1"/>
  <c r="R25" i="1" s="1"/>
  <c r="O27" i="1"/>
  <c r="L27" i="1"/>
  <c r="S27" i="1" s="1"/>
  <c r="R26" i="1"/>
  <c r="O26" i="1"/>
  <c r="L26" i="1"/>
  <c r="S26" i="1" s="1"/>
  <c r="Q25" i="1"/>
  <c r="P25" i="1"/>
  <c r="O25" i="1"/>
  <c r="N25" i="1"/>
  <c r="M25" i="1"/>
  <c r="L25" i="1"/>
  <c r="K25" i="1"/>
  <c r="J25" i="1"/>
  <c r="I25" i="1"/>
  <c r="R24" i="1"/>
  <c r="O24" i="1"/>
  <c r="S24" i="1" s="1"/>
  <c r="R23" i="1"/>
  <c r="O23" i="1"/>
  <c r="L23" i="1"/>
  <c r="S23" i="1" s="1"/>
  <c r="R22" i="1"/>
  <c r="O22" i="1"/>
  <c r="L22" i="1"/>
  <c r="S22" i="1" s="1"/>
  <c r="U21" i="1"/>
  <c r="R21" i="1"/>
  <c r="S21" i="1" s="1"/>
  <c r="T21" i="1" s="1"/>
  <c r="O21" i="1"/>
  <c r="R20" i="1"/>
  <c r="S20" i="1" s="1"/>
  <c r="O20" i="1"/>
  <c r="O19" i="1" s="1"/>
  <c r="L20" i="1"/>
  <c r="L19" i="1" s="1"/>
  <c r="Q19" i="1"/>
  <c r="P19" i="1"/>
  <c r="N19" i="1"/>
  <c r="M19" i="1"/>
  <c r="K19" i="1"/>
  <c r="J19" i="1"/>
  <c r="I19" i="1"/>
  <c r="R18" i="1"/>
  <c r="O18" i="1"/>
  <c r="O17" i="1" s="1"/>
  <c r="L18" i="1"/>
  <c r="L17" i="1" s="1"/>
  <c r="R17" i="1"/>
  <c r="Q17" i="1"/>
  <c r="Q78" i="1" s="1"/>
  <c r="U11" i="1" s="1"/>
  <c r="P17" i="1"/>
  <c r="P78" i="1" s="1"/>
  <c r="N17" i="1"/>
  <c r="M17" i="1"/>
  <c r="K17" i="1"/>
  <c r="K78" i="1" s="1"/>
  <c r="J17" i="1"/>
  <c r="J78" i="1" s="1"/>
  <c r="I17" i="1"/>
  <c r="I78" i="1" s="1"/>
  <c r="W7" i="1"/>
  <c r="S19" i="1" l="1"/>
  <c r="W20" i="1"/>
  <c r="T20" i="1"/>
  <c r="W27" i="1"/>
  <c r="T27" i="1"/>
  <c r="W33" i="1"/>
  <c r="T33" i="1"/>
  <c r="T32" i="1" s="1"/>
  <c r="S32" i="1"/>
  <c r="W50" i="1"/>
  <c r="T50" i="1"/>
  <c r="W61" i="1"/>
  <c r="T61" i="1"/>
  <c r="O109" i="1"/>
  <c r="W79" i="1"/>
  <c r="W36" i="1"/>
  <c r="T36" i="1"/>
  <c r="W39" i="1"/>
  <c r="T39" i="1"/>
  <c r="T38" i="1" s="1"/>
  <c r="S38" i="1"/>
  <c r="T45" i="1"/>
  <c r="W45" i="1"/>
  <c r="W57" i="1"/>
  <c r="T57" i="1"/>
  <c r="W66" i="1"/>
  <c r="T66" i="1"/>
  <c r="W75" i="1"/>
  <c r="T75" i="1"/>
  <c r="W94" i="1"/>
  <c r="V87" i="1"/>
  <c r="S101" i="1"/>
  <c r="W42" i="1"/>
  <c r="T42" i="1"/>
  <c r="W52" i="1"/>
  <c r="T52" i="1"/>
  <c r="W54" i="1"/>
  <c r="T54" i="1"/>
  <c r="X94" i="1"/>
  <c r="Y94" i="1" s="1"/>
  <c r="X105" i="1"/>
  <c r="Y105" i="1" s="1"/>
  <c r="W89" i="1"/>
  <c r="T31" i="1"/>
  <c r="T28" i="1" s="1"/>
  <c r="W31" i="1"/>
  <c r="W35" i="1"/>
  <c r="T35" i="1"/>
  <c r="T34" i="1" s="1"/>
  <c r="S34" i="1"/>
  <c r="S96" i="1"/>
  <c r="V96" i="1" s="1"/>
  <c r="M109" i="1"/>
  <c r="O111" i="1" s="1"/>
  <c r="T24" i="1"/>
  <c r="W24" i="1"/>
  <c r="W22" i="1"/>
  <c r="T22" i="1"/>
  <c r="W46" i="1"/>
  <c r="T46" i="1"/>
  <c r="T26" i="1"/>
  <c r="S25" i="1"/>
  <c r="W26" i="1"/>
  <c r="W49" i="1"/>
  <c r="T49" i="1"/>
  <c r="S55" i="1"/>
  <c r="T56" i="1"/>
  <c r="W56" i="1"/>
  <c r="T65" i="1"/>
  <c r="U65" i="1" s="1"/>
  <c r="W65" i="1"/>
  <c r="W74" i="1"/>
  <c r="T74" i="1"/>
  <c r="V88" i="1"/>
  <c r="R111" i="1"/>
  <c r="W23" i="1"/>
  <c r="T23" i="1"/>
  <c r="T30" i="1"/>
  <c r="W30" i="1"/>
  <c r="AA79" i="1"/>
  <c r="AA82" i="1" s="1"/>
  <c r="O78" i="1"/>
  <c r="U29" i="1"/>
  <c r="W41" i="1"/>
  <c r="T41" i="1"/>
  <c r="S40" i="1"/>
  <c r="W43" i="1"/>
  <c r="T43" i="1"/>
  <c r="W47" i="1"/>
  <c r="T47" i="1"/>
  <c r="S62" i="1"/>
  <c r="W63" i="1"/>
  <c r="T63" i="1"/>
  <c r="T62" i="1" s="1"/>
  <c r="V90" i="1"/>
  <c r="X106" i="1"/>
  <c r="Y106" i="1" s="1"/>
  <c r="R40" i="1"/>
  <c r="R78" i="1" s="1"/>
  <c r="L28" i="1"/>
  <c r="L78" i="1" s="1"/>
  <c r="W37" i="1"/>
  <c r="R51" i="1"/>
  <c r="S53" i="1"/>
  <c r="S51" i="1" s="1"/>
  <c r="W64" i="1"/>
  <c r="S69" i="1"/>
  <c r="W70" i="1"/>
  <c r="S73" i="1"/>
  <c r="W76" i="1"/>
  <c r="R86" i="1"/>
  <c r="R94" i="1" s="1"/>
  <c r="U95" i="1" s="1"/>
  <c r="Y90" i="1"/>
  <c r="AD107" i="1"/>
  <c r="U81" i="1"/>
  <c r="S87" i="1"/>
  <c r="S86" i="1" s="1"/>
  <c r="W101" i="1"/>
  <c r="S28" i="1"/>
  <c r="L51" i="1"/>
  <c r="S60" i="1"/>
  <c r="X88" i="1"/>
  <c r="S18" i="1"/>
  <c r="W29" i="1"/>
  <c r="R19" i="1"/>
  <c r="S48" i="1"/>
  <c r="S44" i="1" s="1"/>
  <c r="W86" i="1"/>
  <c r="R101" i="1"/>
  <c r="R109" i="1" s="1"/>
  <c r="W51" i="1" l="1"/>
  <c r="U51" i="1"/>
  <c r="Y20" i="1"/>
  <c r="U44" i="1"/>
  <c r="Y19" i="1"/>
  <c r="W44" i="1"/>
  <c r="U42" i="1"/>
  <c r="U41" i="1"/>
  <c r="T40" i="1"/>
  <c r="W18" i="1"/>
  <c r="T18" i="1"/>
  <c r="T17" i="1" s="1"/>
  <c r="S17" i="1"/>
  <c r="T55" i="1"/>
  <c r="U56" i="1"/>
  <c r="W34" i="1"/>
  <c r="U34" i="1"/>
  <c r="S109" i="1"/>
  <c r="V109" i="1" s="1"/>
  <c r="V101" i="1"/>
  <c r="Y18" i="1"/>
  <c r="U32" i="1"/>
  <c r="W32" i="1"/>
  <c r="W99" i="1"/>
  <c r="W62" i="1"/>
  <c r="U62" i="1"/>
  <c r="U55" i="1"/>
  <c r="W55" i="1"/>
  <c r="W60" i="1"/>
  <c r="T60" i="1"/>
  <c r="T59" i="1" s="1"/>
  <c r="S59" i="1"/>
  <c r="T44" i="1"/>
  <c r="AA97" i="1"/>
  <c r="W28" i="1"/>
  <c r="U28" i="1"/>
  <c r="W73" i="1"/>
  <c r="S72" i="1"/>
  <c r="T73" i="1"/>
  <c r="T72" i="1" s="1"/>
  <c r="V31" i="1"/>
  <c r="U31" i="1"/>
  <c r="U52" i="1"/>
  <c r="T51" i="1"/>
  <c r="U38" i="1"/>
  <c r="W38" i="1"/>
  <c r="W48" i="1"/>
  <c r="T48" i="1"/>
  <c r="U25" i="1"/>
  <c r="W25" i="1"/>
  <c r="T19" i="1"/>
  <c r="V86" i="1"/>
  <c r="S94" i="1"/>
  <c r="W69" i="1"/>
  <c r="S68" i="1"/>
  <c r="T69" i="1"/>
  <c r="T68" i="1" s="1"/>
  <c r="W40" i="1"/>
  <c r="U40" i="1"/>
  <c r="T25" i="1"/>
  <c r="S111" i="1"/>
  <c r="U19" i="1"/>
  <c r="W19" i="1"/>
  <c r="U114" i="1" l="1"/>
  <c r="V94" i="1"/>
  <c r="Y99" i="1"/>
  <c r="S110" i="1"/>
  <c r="AA100" i="1"/>
  <c r="W59" i="1"/>
  <c r="U59" i="1"/>
  <c r="Y17" i="1"/>
  <c r="Z17" i="1" s="1"/>
  <c r="S78" i="1"/>
  <c r="W17" i="1"/>
  <c r="U17" i="1"/>
  <c r="W68" i="1"/>
  <c r="U68" i="1"/>
  <c r="W72" i="1"/>
  <c r="U72" i="1"/>
  <c r="T78" i="1"/>
  <c r="Y23" i="1"/>
  <c r="V83" i="1" l="1"/>
  <c r="W82" i="1"/>
  <c r="Y82" i="1" s="1"/>
  <c r="Z82" i="1" s="1"/>
  <c r="X78" i="1"/>
  <c r="W78" i="1"/>
  <c r="V78" i="1"/>
  <c r="U78" i="1"/>
  <c r="Y22" i="1"/>
  <c r="U115" i="1"/>
  <c r="V110" i="1"/>
</calcChain>
</file>

<file path=xl/sharedStrings.xml><?xml version="1.0" encoding="utf-8"?>
<sst xmlns="http://schemas.openxmlformats.org/spreadsheetml/2006/main" count="352" uniqueCount="167">
  <si>
    <t xml:space="preserve">PROVINSI JAWA BARAT </t>
  </si>
  <si>
    <t>LAPORAN  PERTANGGUNGJAWABAN BENDAHARA PENGELUARAN PEMBANTU</t>
  </si>
  <si>
    <t>(Administratif)</t>
  </si>
  <si>
    <t>SKPD</t>
  </si>
  <si>
    <t>: Pusat Pengelolaan Pendapatan Daerah Wilayah Kabupaten Tasikmalaya</t>
  </si>
  <si>
    <t>KUASA PENGGUNA ANGGARAN</t>
  </si>
  <si>
    <t>: ECEP SUGIARTO, S.E., M.A.B</t>
  </si>
  <si>
    <t>BENDAHARA PENGELUARAN PEMBANTU</t>
  </si>
  <si>
    <t>: YADIN HERYADIN, S.E</t>
  </si>
  <si>
    <t>TAHUN ANGGARAN</t>
  </si>
  <si>
    <t>: 2026</t>
  </si>
  <si>
    <t>BULAN</t>
  </si>
  <si>
    <t>: APRIL 2026</t>
  </si>
  <si>
    <t xml:space="preserve">                                </t>
  </si>
  <si>
    <t>Kode Rekening</t>
  </si>
  <si>
    <t>U r a i a n</t>
  </si>
  <si>
    <t>JUMLAH</t>
  </si>
  <si>
    <t>SPJ -LS GAJI</t>
  </si>
  <si>
    <t>SPJ -LS BARANG  &amp; JASA</t>
  </si>
  <si>
    <t>SPJ - UP / GU / TU</t>
  </si>
  <si>
    <t xml:space="preserve">Jumlah </t>
  </si>
  <si>
    <t xml:space="preserve">Sisa </t>
  </si>
  <si>
    <t>ANGGARAN</t>
  </si>
  <si>
    <t xml:space="preserve">s/d Bulan Lalu </t>
  </si>
  <si>
    <t>Bulan ini</t>
  </si>
  <si>
    <t>s/d Bulan Ini</t>
  </si>
  <si>
    <t>(LS/UP/GU/TU)</t>
  </si>
  <si>
    <t>Anggaran</t>
  </si>
  <si>
    <t>s/d Bulan ini</t>
  </si>
  <si>
    <t>6 = (4+5)</t>
  </si>
  <si>
    <t>9 = (7+8)</t>
  </si>
  <si>
    <t>13 = (10+11)</t>
  </si>
  <si>
    <t>14=(6+9+13)</t>
  </si>
  <si>
    <t>15=(3-14)</t>
  </si>
  <si>
    <t>5.02.01.1.06.01</t>
  </si>
  <si>
    <t>Penyediaan Komponen Instalasi Listrik/Penerangan bagunan Kantor</t>
  </si>
  <si>
    <t>02</t>
  </si>
  <si>
    <t>01</t>
  </si>
  <si>
    <t>0031</t>
  </si>
  <si>
    <t>Belanja Alat/Bahan untuk Kegiatan Kantor-Alat Listrik</t>
  </si>
  <si>
    <t>5.02.01.1.06.02</t>
  </si>
  <si>
    <t>Penyediaan Peralatan dan Perlengkapan Kantor</t>
  </si>
  <si>
    <t>0009</t>
  </si>
  <si>
    <t>Belanja Bahan-Isi Tabung Pemadam Kebakaran</t>
  </si>
  <si>
    <t>0024</t>
  </si>
  <si>
    <t>Belanja Alat/Bahan untuk Kegiatan Kantor-Alat Tulis Kantor</t>
  </si>
  <si>
    <t>0025</t>
  </si>
  <si>
    <t>Belanja Alat/Bahan untuk Kegiatan Kantor- Kertas dan Cover</t>
  </si>
  <si>
    <t>0027</t>
  </si>
  <si>
    <t>Belanja Alat/Bahan untuk Kegiatan Kantor-Benda Pos</t>
  </si>
  <si>
    <t>0030</t>
  </si>
  <si>
    <t>Belanja Alat/Bahan untuk Kegiatan Kantor-Perabot Kantor</t>
  </si>
  <si>
    <t>5.02.01.1.06.05</t>
  </si>
  <si>
    <t>Penyediaan Barang Cetakan dan Penggandaan</t>
  </si>
  <si>
    <t>0026</t>
  </si>
  <si>
    <t>Belanja Alat/Bahan untuk Kegiatan Kantor- Bahan Cetak</t>
  </si>
  <si>
    <t>5.02.01.1.06.09</t>
  </si>
  <si>
    <t>Penyelenggaraaan Rapat Koordinasi dan Konsultasi SKPD</t>
  </si>
  <si>
    <t>0043</t>
  </si>
  <si>
    <t>Belanja Natura dan Pakan-Natura</t>
  </si>
  <si>
    <t>0052</t>
  </si>
  <si>
    <t>Belanja Makanan dan Minuman Rapat</t>
  </si>
  <si>
    <t>04</t>
  </si>
  <si>
    <t>0001</t>
  </si>
  <si>
    <t>Belanja Perjalanan Dinas Biasa</t>
  </si>
  <si>
    <t>5.02.01.1.07.06</t>
  </si>
  <si>
    <t>Pengadaan Peralatan dan Mesin Lainnya</t>
  </si>
  <si>
    <t>05</t>
  </si>
  <si>
    <t>0004</t>
  </si>
  <si>
    <t>Belanja Modal Alat Penyimpan Perlengkapan Kantor</t>
  </si>
  <si>
    <t>5.02.01.1.07.09</t>
  </si>
  <si>
    <t>Pengadaan Gedung Kantor atau Bangunan Lainnya</t>
  </si>
  <si>
    <t>08</t>
  </si>
  <si>
    <t>0005</t>
  </si>
  <si>
    <t>Belanja Jasa Konsultansi Perencanaan Arsitektur-Jasa Arsitektur Lainnya</t>
  </si>
  <si>
    <t>03</t>
  </si>
  <si>
    <t>Belanja Modal Bangunan Gedung Kantor</t>
  </si>
  <si>
    <t>Belanja Modal Pagar</t>
  </si>
  <si>
    <t>5.02.01.1.07.10</t>
  </si>
  <si>
    <t>Pengadaan Sarana dan Prasarana Gedung Kantor atau Bangunan Lainnya</t>
  </si>
  <si>
    <t>Belanja Modal Mebel</t>
  </si>
  <si>
    <t>5.02.01.1.08.02</t>
  </si>
  <si>
    <t>Penyediaan Jasa Komunikasi, Sumber Daya Air dan Listrik</t>
  </si>
  <si>
    <t>0060</t>
  </si>
  <si>
    <t>Belanja Tagihan Air</t>
  </si>
  <si>
    <t>0061</t>
  </si>
  <si>
    <t>Belanja Tagihan Listrik</t>
  </si>
  <si>
    <t>0063</t>
  </si>
  <si>
    <t xml:space="preserve">Belanja Kawat/Faksimili/Internet/TV Berlangganan </t>
  </si>
  <si>
    <t>5.02.01.1.08.04</t>
  </si>
  <si>
    <t>Penyediaan Jasa Pelayanan Umum Kantor</t>
  </si>
  <si>
    <t>0028</t>
  </si>
  <si>
    <t>Belanja Jasa Tenaga Pelayanan Umum</t>
  </si>
  <si>
    <t>Belanja Jasa Tenaga Kebersihan</t>
  </si>
  <si>
    <t>Belanja Jasa Tenaga Keamanan</t>
  </si>
  <si>
    <t>0033</t>
  </si>
  <si>
    <t>Belanja Jasa Tenaga Supir</t>
  </si>
  <si>
    <t>0037</t>
  </si>
  <si>
    <t>Belanja Sewa Kendaraan Bermotor Angkutan Barang</t>
  </si>
  <si>
    <t>Belanja Sewa Bangunan Gedung Kantor</t>
  </si>
  <si>
    <t>5.02.01.1.09.02</t>
  </si>
  <si>
    <t>Penyediaan Jasa Pemeliharaan, Biaya Pemeliharaan, Pajak dan Perizinan Kendaraan Dinas Operasional atau Lapangan</t>
  </si>
  <si>
    <t>Belanja Bahan-Bahan Bakar dan Pelumas</t>
  </si>
  <si>
    <t>0067</t>
  </si>
  <si>
    <t>Belanja Pembayaran Pajak, Bea, dan Perizinan</t>
  </si>
  <si>
    <t>0036</t>
  </si>
  <si>
    <t>Belanja Pemeliharaan Alat Angkutan-Alat Angkutan Darat Bermotor-Kendaraan Bermotor Penumpang</t>
  </si>
  <si>
    <t>5.02.01.1.09.06</t>
  </si>
  <si>
    <t>Pemeliharaan Peralatan dan Mesin Lainnya</t>
  </si>
  <si>
    <t>0121</t>
  </si>
  <si>
    <t xml:space="preserve">Belanja Pemeliharaan Alat Kantor dan Rumah Tangga-Alat Rumah Tangga-Alat Pendingin </t>
  </si>
  <si>
    <t>0411</t>
  </si>
  <si>
    <t xml:space="preserve">Belanja Pemeliharaan Komputer-Peralatan Komputer-Peralatan Komputer Lainnya </t>
  </si>
  <si>
    <t>5.02.01.1.09.10</t>
  </si>
  <si>
    <t>Sub Kegiatan Pemeliharaan/Rehabilitasi Sarana dan Prasarana Gedung Kantor atau Bangunan Lainnya</t>
  </si>
  <si>
    <t>Belanja Jasa Konsultansi Perencanaan Arsitektur- Jasa Nasihat dan Pra Desain Arsitektural</t>
  </si>
  <si>
    <t>Belanja Pemeliharaan Bangunan Gedung-Bangunan Gedung Tempat Kerja-Bangunan Gedung Kantor</t>
  </si>
  <si>
    <t>5.02.04.1.01.03</t>
  </si>
  <si>
    <t>Sub Kegiatan Penyuluhan dan Penyebarluasan Kebijakan Pajak Daerah</t>
  </si>
  <si>
    <t>Belanja Makan dan Minuman Rapat</t>
  </si>
  <si>
    <t>0003</t>
  </si>
  <si>
    <t>Honorarium Narasumber atau Pembahas, Moderator, PembawaAcara, dan Panitia</t>
  </si>
  <si>
    <t>0055</t>
  </si>
  <si>
    <t xml:space="preserve">Belanja Jasa Iklan/Reklame, Film, dan Pemotretan </t>
  </si>
  <si>
    <t>5.02.04.1.01.05</t>
  </si>
  <si>
    <t>Sub Kegiatan Pendataan dan Pendaftaran Objek Pajak Daerah</t>
  </si>
  <si>
    <t xml:space="preserve">Honorarium Tim Pelaksana Kegiatan dan Sekretariat Tim Pelaksana Kegiatan </t>
  </si>
  <si>
    <t>5.02.04.1.01.10</t>
  </si>
  <si>
    <t>Penagihan Pajak Daerah</t>
  </si>
  <si>
    <t xml:space="preserve">	Honorarium Tim Pelaksana Kegiatan dan Sekretariat Tim Pelaksana Kegiatan</t>
  </si>
  <si>
    <t>Belanja Sewa Peralatan Bantu</t>
  </si>
  <si>
    <t>Penerimaan</t>
  </si>
  <si>
    <t xml:space="preserve"> - SPJ- (LS+UP/GU/TU)</t>
  </si>
  <si>
    <t xml:space="preserve">    a. UP</t>
  </si>
  <si>
    <t xml:space="preserve">    b. GU</t>
  </si>
  <si>
    <t xml:space="preserve">    c. TU</t>
  </si>
  <si>
    <t xml:space="preserve">    d. LS</t>
  </si>
  <si>
    <t xml:space="preserve">    e. KKPD</t>
  </si>
  <si>
    <t xml:space="preserve"> - Potongan Pajak</t>
  </si>
  <si>
    <t xml:space="preserve">    a. PPN</t>
  </si>
  <si>
    <t xml:space="preserve">    c. PPh.- 21</t>
  </si>
  <si>
    <t xml:space="preserve">    d. PPh.- 22</t>
  </si>
  <si>
    <t xml:space="preserve">    e. PPh.- 23</t>
  </si>
  <si>
    <t xml:space="preserve">    b. PPh. Psl 4 (Ayat 2)</t>
  </si>
  <si>
    <t xml:space="preserve"> - Panjar</t>
  </si>
  <si>
    <t xml:space="preserve"> - Lainnya</t>
  </si>
  <si>
    <t>Jumlah Penerimaan</t>
  </si>
  <si>
    <t>Pengeluaran</t>
  </si>
  <si>
    <t xml:space="preserve">                                                           </t>
  </si>
  <si>
    <t xml:space="preserve"> - Penyetoran Pajak</t>
  </si>
  <si>
    <t xml:space="preserve"> - Lainnya Pengembalian Uang (GU)</t>
  </si>
  <si>
    <t>Jumlah Pengeluaran</t>
  </si>
  <si>
    <t>Saldo Kas</t>
  </si>
  <si>
    <t>Mengetahui / Menyetujui :</t>
  </si>
  <si>
    <t>Sukaraja, 30 April 2026</t>
  </si>
  <si>
    <t>BENDAHARA PENGELUARAN ,</t>
  </si>
  <si>
    <t>ECEP SUGIARTO, S.E., M.A.B</t>
  </si>
  <si>
    <t>DENI RAMDANI, SE, MM</t>
  </si>
  <si>
    <t>JUNAEDI SUKARYADI, S.E., M.M</t>
  </si>
  <si>
    <t>YADIN HERYADIN, SE</t>
  </si>
  <si>
    <t>Pembina</t>
  </si>
  <si>
    <t xml:space="preserve">Penata </t>
  </si>
  <si>
    <t>Penata Tingkat I</t>
  </si>
  <si>
    <t>NIP. 19680406 199703 1 002</t>
  </si>
  <si>
    <t>NIP. 19770913 200901 1 008</t>
  </si>
  <si>
    <t>NIP. 19770728 200604 1 004</t>
  </si>
  <si>
    <t>NIP. 19711128 200801 1 001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</si>
</sst>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_);_(* \(#,##0\);_(* &quot;-&quot;??_);_(@_)"/>
    <numFmt numFmtId="166" formatCode="_(* #,##0.00_);_(* \(#,##0.00\);_(* &quot;-&quot;_);_(@_)"/>
    <numFmt numFmtId="167" formatCode="_(* #,##0.00_);_(* \(#,##0.00\);_(* &quot;-&quot;??_);_(@_)"/>
  </numFmts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9"/>
      <color rgb="FF000000"/>
      <name val="Century Gothic"/>
      <family val="2"/>
    </font>
    <font>
      <sz val="9"/>
      <color rgb="FFFF0000"/>
      <name val="Century Gothic"/>
      <family val="2"/>
    </font>
    <font>
      <sz val="10"/>
      <color rgb="FF000000"/>
      <name val="Tahoma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b/>
      <sz val="9"/>
      <color rgb="FF2AB648"/>
      <name val="Arial"/>
      <family val="2"/>
    </font>
    <font>
      <sz val="10"/>
      <color theme="0"/>
      <name val="Calibri"/>
      <family val="2"/>
    </font>
    <font>
      <b/>
      <sz val="10"/>
      <color theme="0"/>
      <name val="Calibri"/>
      <family val="2"/>
    </font>
    <font>
      <sz val="9"/>
      <color theme="0"/>
      <name val="Arial"/>
      <family val="2"/>
    </font>
    <font>
      <sz val="9"/>
      <color theme="0"/>
      <name val="Calibri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6" fillId="2" borderId="4" xfId="0" applyFont="1" applyFill="1" applyBorder="1" applyAlignment="1">
      <alignment horizontal="center" vertical="top"/>
    </xf>
    <xf numFmtId="0" fontId="6" fillId="2" borderId="5" xfId="0" applyFont="1" applyFill="1" applyBorder="1" applyAlignment="1">
      <alignment horizontal="center"/>
    </xf>
    <xf numFmtId="0" fontId="7" fillId="0" borderId="6" xfId="0" applyFont="1" applyBorder="1"/>
    <xf numFmtId="0" fontId="7" fillId="0" borderId="7" xfId="0" applyFont="1" applyBorder="1"/>
    <xf numFmtId="0" fontId="6" fillId="2" borderId="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8" xfId="0" applyFont="1" applyBorder="1"/>
    <xf numFmtId="0" fontId="7" fillId="0" borderId="9" xfId="0" applyFont="1" applyBorder="1"/>
    <xf numFmtId="0" fontId="6" fillId="2" borderId="10" xfId="0" applyFont="1" applyFill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6" fillId="2" borderId="14" xfId="0" applyFont="1" applyFill="1" applyBorder="1" applyAlignment="1">
      <alignment horizontal="center" vertical="top"/>
    </xf>
    <xf numFmtId="0" fontId="7" fillId="0" borderId="14" xfId="0" applyFont="1" applyBorder="1"/>
    <xf numFmtId="0" fontId="6" fillId="2" borderId="15" xfId="0" applyFont="1" applyFill="1" applyBorder="1" applyAlignment="1">
      <alignment horizontal="center"/>
    </xf>
    <xf numFmtId="0" fontId="8" fillId="0" borderId="0" xfId="0" applyFont="1"/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 wrapText="1"/>
    </xf>
    <xf numFmtId="164" fontId="6" fillId="2" borderId="15" xfId="0" applyNumberFormat="1" applyFont="1" applyFill="1" applyBorder="1" applyAlignment="1">
      <alignment vertical="center"/>
    </xf>
    <xf numFmtId="166" fontId="9" fillId="0" borderId="0" xfId="0" applyNumberFormat="1" applyFont="1"/>
    <xf numFmtId="164" fontId="6" fillId="2" borderId="0" xfId="0" applyNumberFormat="1" applyFont="1" applyFill="1" applyAlignment="1">
      <alignment vertical="center"/>
    </xf>
    <xf numFmtId="2" fontId="5" fillId="0" borderId="0" xfId="0" applyNumberFormat="1" applyFont="1"/>
    <xf numFmtId="0" fontId="8" fillId="2" borderId="0" xfId="0" applyFont="1" applyFill="1"/>
    <xf numFmtId="164" fontId="8" fillId="2" borderId="0" xfId="0" applyNumberFormat="1" applyFont="1" applyFill="1"/>
    <xf numFmtId="0" fontId="10" fillId="3" borderId="16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10" fillId="3" borderId="17" xfId="0" quotePrefix="1" applyFont="1" applyFill="1" applyBorder="1" applyAlignment="1">
      <alignment horizontal="center" vertical="center" wrapText="1"/>
    </xf>
    <xf numFmtId="0" fontId="10" fillId="3" borderId="18" xfId="0" quotePrefix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wrapText="1"/>
    </xf>
    <xf numFmtId="164" fontId="5" fillId="0" borderId="15" xfId="0" applyNumberFormat="1" applyFont="1" applyBorder="1" applyAlignment="1">
      <alignment vertical="center"/>
    </xf>
    <xf numFmtId="167" fontId="5" fillId="0" borderId="15" xfId="0" applyNumberFormat="1" applyFont="1" applyBorder="1"/>
    <xf numFmtId="165" fontId="6" fillId="3" borderId="15" xfId="0" applyNumberFormat="1" applyFont="1" applyFill="1" applyBorder="1" applyAlignment="1">
      <alignment vertical="center"/>
    </xf>
    <xf numFmtId="165" fontId="5" fillId="0" borderId="15" xfId="0" applyNumberFormat="1" applyFont="1" applyBorder="1"/>
    <xf numFmtId="165" fontId="5" fillId="3" borderId="15" xfId="0" applyNumberFormat="1" applyFont="1" applyFill="1" applyBorder="1" applyAlignment="1">
      <alignment vertical="center"/>
    </xf>
    <xf numFmtId="165" fontId="5" fillId="3" borderId="15" xfId="0" applyNumberFormat="1" applyFont="1" applyFill="1" applyBorder="1"/>
    <xf numFmtId="165" fontId="5" fillId="3" borderId="0" xfId="0" applyNumberFormat="1" applyFont="1" applyFill="1"/>
    <xf numFmtId="2" fontId="6" fillId="0" borderId="0" xfId="0" applyNumberFormat="1" applyFont="1"/>
    <xf numFmtId="0" fontId="5" fillId="0" borderId="15" xfId="0" applyFont="1" applyBorder="1" applyAlignment="1">
      <alignment horizontal="center" vertical="center"/>
    </xf>
    <xf numFmtId="0" fontId="5" fillId="0" borderId="15" xfId="0" quotePrefix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164" fontId="5" fillId="4" borderId="15" xfId="0" applyNumberFormat="1" applyFont="1" applyFill="1" applyBorder="1" applyAlignment="1">
      <alignment vertical="center"/>
    </xf>
    <xf numFmtId="167" fontId="5" fillId="0" borderId="15" xfId="0" applyNumberFormat="1" applyFont="1" applyBorder="1" applyAlignment="1">
      <alignment vertical="center"/>
    </xf>
    <xf numFmtId="165" fontId="5" fillId="0" borderId="15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165" fontId="11" fillId="0" borderId="15" xfId="0" applyNumberFormat="1" applyFont="1" applyBorder="1"/>
    <xf numFmtId="165" fontId="6" fillId="0" borderId="15" xfId="0" applyNumberFormat="1" applyFont="1" applyBorder="1"/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/>
    </xf>
    <xf numFmtId="0" fontId="13" fillId="0" borderId="7" xfId="0" applyFont="1" applyBorder="1" applyAlignment="1">
      <alignment horizontal="left"/>
    </xf>
    <xf numFmtId="165" fontId="14" fillId="3" borderId="15" xfId="0" applyNumberFormat="1" applyFont="1" applyFill="1" applyBorder="1"/>
    <xf numFmtId="167" fontId="14" fillId="0" borderId="15" xfId="0" applyNumberFormat="1" applyFont="1" applyBorder="1"/>
    <xf numFmtId="165" fontId="14" fillId="0" borderId="15" xfId="0" applyNumberFormat="1" applyFont="1" applyBorder="1"/>
    <xf numFmtId="165" fontId="14" fillId="3" borderId="0" xfId="0" applyNumberFormat="1" applyFont="1" applyFill="1"/>
    <xf numFmtId="0" fontId="15" fillId="0" borderId="22" xfId="0" applyFont="1" applyBorder="1" applyAlignment="1">
      <alignment horizontal="right"/>
    </xf>
    <xf numFmtId="0" fontId="7" fillId="0" borderId="23" xfId="0" applyFont="1" applyBorder="1"/>
    <xf numFmtId="167" fontId="4" fillId="0" borderId="23" xfId="0" applyNumberFormat="1" applyFont="1" applyBorder="1"/>
    <xf numFmtId="0" fontId="13" fillId="0" borderId="24" xfId="0" applyFont="1" applyBorder="1" applyAlignment="1">
      <alignment horizontal="left"/>
    </xf>
    <xf numFmtId="165" fontId="9" fillId="0" borderId="24" xfId="0" applyNumberFormat="1" applyFont="1" applyBorder="1"/>
    <xf numFmtId="165" fontId="9" fillId="0" borderId="0" xfId="0" applyNumberFormat="1" applyFont="1"/>
    <xf numFmtId="2" fontId="16" fillId="0" borderId="0" xfId="0" applyNumberFormat="1" applyFont="1"/>
    <xf numFmtId="165" fontId="16" fillId="0" borderId="0" xfId="0" applyNumberFormat="1" applyFont="1"/>
    <xf numFmtId="167" fontId="4" fillId="0" borderId="1" xfId="0" applyNumberFormat="1" applyFont="1" applyBorder="1"/>
    <xf numFmtId="167" fontId="4" fillId="0" borderId="2" xfId="0" applyNumberFormat="1" applyFont="1" applyBorder="1"/>
    <xf numFmtId="0" fontId="13" fillId="3" borderId="1" xfId="0" applyFont="1" applyFill="1" applyBorder="1"/>
    <xf numFmtId="167" fontId="17" fillId="3" borderId="7" xfId="0" applyNumberFormat="1" applyFont="1" applyFill="1" applyBorder="1"/>
    <xf numFmtId="167" fontId="17" fillId="3" borderId="15" xfId="0" applyNumberFormat="1" applyFont="1" applyFill="1" applyBorder="1"/>
    <xf numFmtId="165" fontId="17" fillId="3" borderId="15" xfId="0" applyNumberFormat="1" applyFont="1" applyFill="1" applyBorder="1"/>
    <xf numFmtId="167" fontId="17" fillId="3" borderId="4" xfId="0" applyNumberFormat="1" applyFont="1" applyFill="1" applyBorder="1"/>
    <xf numFmtId="167" fontId="17" fillId="3" borderId="0" xfId="0" applyNumberFormat="1" applyFont="1" applyFill="1"/>
    <xf numFmtId="167" fontId="4" fillId="0" borderId="8" xfId="0" applyNumberFormat="1" applyFont="1" applyBorder="1"/>
    <xf numFmtId="167" fontId="4" fillId="0" borderId="0" xfId="0" applyNumberFormat="1" applyFont="1"/>
    <xf numFmtId="0" fontId="18" fillId="0" borderId="1" xfId="0" applyFont="1" applyBorder="1"/>
    <xf numFmtId="0" fontId="13" fillId="0" borderId="6" xfId="0" applyFont="1" applyBorder="1"/>
    <xf numFmtId="167" fontId="17" fillId="0" borderId="7" xfId="0" applyNumberFormat="1" applyFont="1" applyBorder="1"/>
    <xf numFmtId="167" fontId="17" fillId="0" borderId="15" xfId="0" applyNumberFormat="1" applyFont="1" applyBorder="1" applyAlignment="1">
      <alignment vertical="center"/>
    </xf>
    <xf numFmtId="165" fontId="9" fillId="0" borderId="15" xfId="0" applyNumberFormat="1" applyFont="1" applyBorder="1"/>
    <xf numFmtId="167" fontId="17" fillId="0" borderId="10" xfId="0" applyNumberFormat="1" applyFont="1" applyBorder="1"/>
    <xf numFmtId="167" fontId="17" fillId="0" borderId="0" xfId="0" applyNumberFormat="1" applyFont="1"/>
    <xf numFmtId="0" fontId="13" fillId="0" borderId="5" xfId="0" applyFont="1" applyBorder="1"/>
    <xf numFmtId="167" fontId="17" fillId="0" borderId="15" xfId="0" applyNumberFormat="1" applyFont="1" applyBorder="1"/>
    <xf numFmtId="165" fontId="17" fillId="0" borderId="15" xfId="0" applyNumberFormat="1" applyFont="1" applyBorder="1"/>
    <xf numFmtId="0" fontId="13" fillId="0" borderId="11" xfId="0" applyFont="1" applyBorder="1"/>
    <xf numFmtId="165" fontId="0" fillId="0" borderId="0" xfId="0" applyNumberFormat="1"/>
    <xf numFmtId="164" fontId="0" fillId="0" borderId="0" xfId="0" applyNumberFormat="1"/>
    <xf numFmtId="167" fontId="15" fillId="0" borderId="8" xfId="0" applyNumberFormat="1" applyFont="1" applyBorder="1"/>
    <xf numFmtId="167" fontId="15" fillId="0" borderId="0" xfId="0" applyNumberFormat="1" applyFont="1"/>
    <xf numFmtId="0" fontId="18" fillId="3" borderId="5" xfId="0" applyFont="1" applyFill="1" applyBorder="1"/>
    <xf numFmtId="0" fontId="18" fillId="3" borderId="6" xfId="0" applyFont="1" applyFill="1" applyBorder="1"/>
    <xf numFmtId="167" fontId="9" fillId="3" borderId="7" xfId="0" applyNumberFormat="1" applyFont="1" applyFill="1" applyBorder="1"/>
    <xf numFmtId="167" fontId="9" fillId="3" borderId="15" xfId="0" applyNumberFormat="1" applyFont="1" applyFill="1" applyBorder="1"/>
    <xf numFmtId="165" fontId="9" fillId="3" borderId="15" xfId="0" applyNumberFormat="1" applyFont="1" applyFill="1" applyBorder="1"/>
    <xf numFmtId="167" fontId="9" fillId="0" borderId="10" xfId="0" applyNumberFormat="1" applyFont="1" applyBorder="1"/>
    <xf numFmtId="167" fontId="9" fillId="0" borderId="0" xfId="0" applyNumberFormat="1" applyFont="1"/>
    <xf numFmtId="165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65" fontId="17" fillId="0" borderId="10" xfId="0" applyNumberFormat="1" applyFont="1" applyBorder="1"/>
    <xf numFmtId="0" fontId="13" fillId="0" borderId="1" xfId="0" applyFont="1" applyBorder="1"/>
    <xf numFmtId="0" fontId="13" fillId="0" borderId="2" xfId="0" applyFont="1" applyBorder="1"/>
    <xf numFmtId="167" fontId="17" fillId="0" borderId="3" xfId="0" applyNumberFormat="1" applyFont="1" applyBorder="1"/>
    <xf numFmtId="0" fontId="13" fillId="0" borderId="0" xfId="0" applyFont="1"/>
    <xf numFmtId="167" fontId="17" fillId="0" borderId="9" xfId="0" applyNumberFormat="1" applyFont="1" applyBorder="1"/>
    <xf numFmtId="167" fontId="17" fillId="0" borderId="14" xfId="0" applyNumberFormat="1" applyFont="1" applyBorder="1"/>
    <xf numFmtId="165" fontId="17" fillId="0" borderId="14" xfId="0" applyNumberFormat="1" applyFont="1" applyBorder="1"/>
    <xf numFmtId="165" fontId="9" fillId="0" borderId="14" xfId="0" applyNumberFormat="1" applyFont="1" applyBorder="1"/>
    <xf numFmtId="0" fontId="18" fillId="3" borderId="22" xfId="0" applyFont="1" applyFill="1" applyBorder="1"/>
    <xf numFmtId="0" fontId="18" fillId="3" borderId="23" xfId="0" applyFont="1" applyFill="1" applyBorder="1"/>
    <xf numFmtId="167" fontId="17" fillId="3" borderId="24" xfId="0" applyNumberFormat="1" applyFont="1" applyFill="1" applyBorder="1"/>
    <xf numFmtId="167" fontId="17" fillId="3" borderId="25" xfId="0" applyNumberFormat="1" applyFont="1" applyFill="1" applyBorder="1"/>
    <xf numFmtId="165" fontId="17" fillId="3" borderId="25" xfId="0" applyNumberFormat="1" applyFont="1" applyFill="1" applyBorder="1"/>
    <xf numFmtId="0" fontId="13" fillId="3" borderId="5" xfId="0" applyFont="1" applyFill="1" applyBorder="1"/>
    <xf numFmtId="0" fontId="13" fillId="3" borderId="6" xfId="0" applyFont="1" applyFill="1" applyBorder="1"/>
    <xf numFmtId="165" fontId="19" fillId="0" borderId="0" xfId="0" applyNumberFormat="1" applyFont="1"/>
    <xf numFmtId="3" fontId="0" fillId="0" borderId="0" xfId="0" applyNumberFormat="1"/>
    <xf numFmtId="167" fontId="17" fillId="3" borderId="15" xfId="0" applyNumberFormat="1" applyFont="1" applyFill="1" applyBorder="1" applyAlignment="1">
      <alignment vertical="center"/>
    </xf>
    <xf numFmtId="165" fontId="1" fillId="0" borderId="0" xfId="0" applyNumberFormat="1" applyFont="1"/>
    <xf numFmtId="0" fontId="1" fillId="0" borderId="0" xfId="0" applyFont="1"/>
    <xf numFmtId="165" fontId="17" fillId="3" borderId="10" xfId="0" applyNumberFormat="1" applyFont="1" applyFill="1" applyBorder="1"/>
    <xf numFmtId="0" fontId="13" fillId="3" borderId="23" xfId="0" applyFont="1" applyFill="1" applyBorder="1"/>
    <xf numFmtId="167" fontId="4" fillId="0" borderId="11" xfId="0" applyNumberFormat="1" applyFont="1" applyBorder="1"/>
    <xf numFmtId="167" fontId="4" fillId="0" borderId="12" xfId="0" applyNumberFormat="1" applyFont="1" applyBorder="1"/>
    <xf numFmtId="165" fontId="8" fillId="0" borderId="15" xfId="0" applyNumberFormat="1" applyFont="1" applyBorder="1"/>
    <xf numFmtId="0" fontId="20" fillId="0" borderId="0" xfId="0" applyFont="1"/>
    <xf numFmtId="165" fontId="21" fillId="0" borderId="0" xfId="0" applyNumberFormat="1" applyFont="1"/>
    <xf numFmtId="167" fontId="22" fillId="0" borderId="0" xfId="0" applyNumberFormat="1" applyFont="1"/>
    <xf numFmtId="167" fontId="21" fillId="0" borderId="0" xfId="0" applyNumberFormat="1" applyFont="1"/>
    <xf numFmtId="165" fontId="23" fillId="0" borderId="0" xfId="0" applyNumberFormat="1" applyFont="1"/>
    <xf numFmtId="165" fontId="24" fillId="0" borderId="0" xfId="0" applyNumberFormat="1" applyFont="1"/>
    <xf numFmtId="0" fontId="25" fillId="0" borderId="0" xfId="0" applyFont="1"/>
    <xf numFmtId="0" fontId="4" fillId="0" borderId="0" xfId="0" applyFont="1"/>
    <xf numFmtId="165" fontId="4" fillId="0" borderId="0" xfId="0" applyNumberFormat="1" applyFont="1"/>
    <xf numFmtId="0" fontId="26" fillId="0" borderId="0" xfId="0" applyFont="1" applyAlignment="1">
      <alignment vertical="top"/>
    </xf>
    <xf numFmtId="0" fontId="3" fillId="0" borderId="0" xfId="0" applyFont="1"/>
    <xf numFmtId="0" fontId="25" fillId="0" borderId="0" xfId="0" applyFont="1" applyAlignment="1">
      <alignment horizontal="left"/>
    </xf>
    <xf numFmtId="0" fontId="27" fillId="0" borderId="0" xfId="0" applyFont="1"/>
    <xf numFmtId="0" fontId="28" fillId="0" borderId="0" xfId="0" applyFont="1"/>
    <xf numFmtId="0" fontId="29" fillId="0" borderId="0" xfId="0" applyFont="1" applyAlignment="1">
      <alignment horizontal="left"/>
    </xf>
    <xf numFmtId="165" fontId="28" fillId="0" borderId="0" xfId="0" applyNumberFormat="1" applyFont="1"/>
    <xf numFmtId="164" fontId="27" fillId="0" borderId="0" xfId="0" applyNumberFormat="1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2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ther%20computers\Komputer%20Kantor\Google%20Drive\KEUANGAN\LAPBUL\LAPBUL%202026\LAPBUL%20APRIL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Google%20Drive/Dokumen%20Kantor/BENDAHARA%20PENGELUARAN/LAPBUL/LAPBUL%202021/April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EMBER"/>
      <sheetName val="JANUARI"/>
      <sheetName val="FEBRUARI"/>
      <sheetName val="MARET"/>
      <sheetName val="APRIL"/>
      <sheetName val="LPJ 2026"/>
      <sheetName val="BUKU PAJAK"/>
      <sheetName val="BUKU BANK"/>
      <sheetName val="BA Penutupan Kas"/>
      <sheetName val="REGISTER PENUTUPAN KAS"/>
      <sheetName val="RPPUA 1"/>
      <sheetName val="RPPUP 1"/>
      <sheetName val="BERITA ACARA  TRIWULAN"/>
      <sheetName val="PENUTUPAN KAS 2"/>
      <sheetName val="RPPUA 2"/>
      <sheetName val="RPPUP 2"/>
    </sheetNames>
    <sheetDataSet>
      <sheetData sheetId="0"/>
      <sheetData sheetId="1"/>
      <sheetData sheetId="2"/>
      <sheetData sheetId="3"/>
      <sheetData sheetId="4">
        <row r="31">
          <cell r="I31">
            <v>616216</v>
          </cell>
        </row>
        <row r="37">
          <cell r="I37">
            <v>788932</v>
          </cell>
        </row>
        <row r="43">
          <cell r="I43">
            <v>400353</v>
          </cell>
        </row>
      </sheetData>
      <sheetData sheetId="5"/>
      <sheetData sheetId="6"/>
      <sheetData sheetId="7">
        <row r="59">
          <cell r="D59">
            <v>933075595</v>
          </cell>
          <cell r="E59">
            <v>643351998</v>
          </cell>
        </row>
      </sheetData>
      <sheetData sheetId="8"/>
      <sheetData sheetId="9"/>
      <sheetData sheetId="10">
        <row r="19">
          <cell r="C19">
            <v>984567140</v>
          </cell>
          <cell r="D19">
            <v>694843543</v>
          </cell>
        </row>
      </sheetData>
      <sheetData sheetId="11">
        <row r="19">
          <cell r="C19">
            <v>125000</v>
          </cell>
          <cell r="D19">
            <v>0</v>
          </cell>
          <cell r="E19">
            <v>7501638</v>
          </cell>
          <cell r="F19">
            <v>41114907</v>
          </cell>
          <cell r="G19">
            <v>2750000</v>
          </cell>
          <cell r="J19">
            <v>51491545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RITA ACARA  TRIWULAN"/>
      <sheetName val="BUKU BANK"/>
      <sheetName val="BUKU PAJAK"/>
      <sheetName val="BUKU PANJAR "/>
      <sheetName val="Maret"/>
      <sheetName val="April"/>
      <sheetName val="LPJ"/>
      <sheetName val="REG. ADMIN (6)"/>
      <sheetName val="REKAP PAJAK SPJ (3)"/>
      <sheetName val="RKP BLN ADM (4)"/>
      <sheetName val="kartu kendali"/>
      <sheetName val="KENDALI (2)"/>
      <sheetName val="KENDALI (3)"/>
      <sheetName val="kendali"/>
      <sheetName val="REG. ADMIN (5)"/>
      <sheetName val="REKAP PAJAK SPJ (2)"/>
      <sheetName val="RKP BLN ADM (3)"/>
      <sheetName val="Sheet1"/>
      <sheetName val="rekap pajak admin gu"/>
      <sheetName val="Sheet2"/>
    </sheetNames>
    <sheetDataSet>
      <sheetData sheetId="0"/>
      <sheetData sheetId="1"/>
      <sheetData sheetId="2"/>
      <sheetData sheetId="3">
        <row r="15">
          <cell r="F15">
            <v>0</v>
          </cell>
          <cell r="G15">
            <v>0</v>
          </cell>
        </row>
      </sheetData>
      <sheetData sheetId="4"/>
      <sheetData sheetId="5"/>
      <sheetData sheetId="6">
        <row r="22">
          <cell r="Q22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46425-AD90-46FF-8A8E-0E4B0B46F13D}">
  <sheetPr>
    <tabColor rgb="FFFF0000"/>
    <pageSetUpPr fitToPage="1"/>
  </sheetPr>
  <dimension ref="A1:AD994"/>
  <sheetViews>
    <sheetView tabSelected="1" zoomScale="115" zoomScaleNormal="115" zoomScaleSheetLayoutView="85" workbookViewId="0">
      <pane ySplit="15" topLeftCell="A25" activePane="bottomLeft" state="frozen"/>
      <selection pane="bottomLeft" activeCell="K72" sqref="K72"/>
    </sheetView>
  </sheetViews>
  <sheetFormatPr defaultColWidth="14.42578125" defaultRowHeight="15" customHeight="1" x14ac:dyDescent="0.25"/>
  <cols>
    <col min="1" max="1" width="3.5703125" customWidth="1"/>
    <col min="2" max="2" width="4.28515625" customWidth="1"/>
    <col min="3" max="4" width="4.7109375" customWidth="1"/>
    <col min="5" max="5" width="4.140625" customWidth="1"/>
    <col min="6" max="6" width="5" customWidth="1"/>
    <col min="7" max="7" width="11.7109375" customWidth="1"/>
    <col min="8" max="8" width="30.140625" customWidth="1"/>
    <col min="9" max="9" width="17.42578125" customWidth="1"/>
    <col min="10" max="10" width="9.7109375" customWidth="1"/>
    <col min="11" max="11" width="9" customWidth="1"/>
    <col min="12" max="12" width="10.5703125" customWidth="1"/>
    <col min="13" max="13" width="17.85546875" customWidth="1"/>
    <col min="14" max="14" width="22.7109375" customWidth="1"/>
    <col min="15" max="15" width="15.85546875" customWidth="1"/>
    <col min="16" max="16" width="16" customWidth="1"/>
    <col min="17" max="17" width="17" customWidth="1"/>
    <col min="18" max="18" width="15.7109375" customWidth="1"/>
    <col min="19" max="19" width="15.85546875" customWidth="1"/>
    <col min="20" max="22" width="16.28515625" customWidth="1"/>
    <col min="23" max="23" width="16.42578125" bestFit="1" customWidth="1"/>
    <col min="24" max="24" width="14.28515625" bestFit="1" customWidth="1"/>
    <col min="25" max="25" width="14.28515625" customWidth="1"/>
    <col min="26" max="26" width="12.5703125" customWidth="1"/>
    <col min="27" max="27" width="14.42578125" customWidth="1"/>
  </cols>
  <sheetData>
    <row r="1" spans="1:23" ht="12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</row>
    <row r="2" spans="1:23" ht="12.75" customHeight="1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</row>
    <row r="3" spans="1:23" ht="12.75" hidden="1" customHeight="1" x14ac:dyDescent="0.25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3" ht="12.75" hidden="1" customHeight="1" x14ac:dyDescent="0.25">
      <c r="A4" s="1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3" ht="12.75" customHeight="1" x14ac:dyDescent="0.25">
      <c r="A5" s="1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3"/>
    </row>
    <row r="6" spans="1:23" ht="12.75" customHeight="1" x14ac:dyDescent="0.25">
      <c r="A6" s="4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5"/>
      <c r="V6" s="5"/>
    </row>
    <row r="7" spans="1:23" ht="12.75" customHeight="1" x14ac:dyDescent="0.3">
      <c r="A7" s="6" t="s">
        <v>3</v>
      </c>
      <c r="B7" s="6"/>
      <c r="C7" s="6"/>
      <c r="D7" s="6"/>
      <c r="E7" s="6"/>
      <c r="F7" s="6"/>
      <c r="G7" s="6"/>
      <c r="H7" s="6"/>
      <c r="I7" s="6" t="s">
        <v>4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7">
        <f>Q44+N44</f>
        <v>100205300</v>
      </c>
    </row>
    <row r="8" spans="1:23" ht="12.75" customHeight="1" x14ac:dyDescent="0.3">
      <c r="A8" s="6" t="s">
        <v>5</v>
      </c>
      <c r="B8" s="6"/>
      <c r="C8" s="6"/>
      <c r="D8" s="6"/>
      <c r="E8" s="6"/>
      <c r="F8" s="6"/>
      <c r="G8" s="6"/>
      <c r="H8" s="6"/>
      <c r="I8" s="6" t="s">
        <v>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2.75" customHeight="1" x14ac:dyDescent="0.3">
      <c r="A9" s="6" t="s">
        <v>7</v>
      </c>
      <c r="B9" s="6"/>
      <c r="C9" s="6"/>
      <c r="D9" s="6"/>
      <c r="E9" s="6"/>
      <c r="F9" s="6"/>
      <c r="G9" s="6"/>
      <c r="H9" s="6"/>
      <c r="I9" s="6" t="s">
        <v>8</v>
      </c>
      <c r="J9" s="6"/>
      <c r="K9" s="6"/>
      <c r="L9" s="6"/>
      <c r="M9" s="6"/>
      <c r="N9" s="7"/>
      <c r="O9" s="7"/>
      <c r="P9" s="7"/>
      <c r="Q9" s="6"/>
      <c r="R9" s="6"/>
      <c r="S9" s="6"/>
      <c r="T9" s="6"/>
      <c r="U9" s="6"/>
      <c r="V9" s="6"/>
      <c r="W9" s="6"/>
    </row>
    <row r="10" spans="1:23" ht="12.75" customHeight="1" x14ac:dyDescent="0.3">
      <c r="A10" s="6" t="s">
        <v>9</v>
      </c>
      <c r="B10" s="6"/>
      <c r="C10" s="6"/>
      <c r="D10" s="6"/>
      <c r="E10" s="6"/>
      <c r="F10" s="6"/>
      <c r="G10" s="6"/>
      <c r="H10" s="6"/>
      <c r="I10" s="6" t="s">
        <v>10</v>
      </c>
      <c r="J10" s="6"/>
      <c r="K10" s="6"/>
      <c r="L10" s="6"/>
      <c r="M10" s="6"/>
      <c r="N10" s="7"/>
      <c r="O10" s="6"/>
      <c r="P10" s="6"/>
      <c r="Q10" s="6"/>
      <c r="R10" s="6"/>
      <c r="S10" s="6"/>
      <c r="T10" s="6"/>
      <c r="U10" s="8"/>
      <c r="V10" s="6"/>
      <c r="W10" s="6"/>
    </row>
    <row r="11" spans="1:23" ht="12.75" customHeight="1" x14ac:dyDescent="0.3">
      <c r="A11" s="6" t="s">
        <v>11</v>
      </c>
      <c r="B11" s="6"/>
      <c r="C11" s="6"/>
      <c r="D11" s="6"/>
      <c r="E11" s="6"/>
      <c r="F11" s="6"/>
      <c r="G11" s="6"/>
      <c r="H11" s="6"/>
      <c r="I11" s="6" t="s">
        <v>12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8">
        <f>Q78+N78</f>
        <v>193719224</v>
      </c>
      <c r="V11" s="6"/>
      <c r="W11" s="6"/>
    </row>
    <row r="12" spans="1:23" ht="4.5" customHeight="1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 t="s">
        <v>13</v>
      </c>
      <c r="N12" s="6"/>
      <c r="O12" s="6"/>
      <c r="P12" s="6"/>
      <c r="Q12" s="6"/>
      <c r="R12" s="6"/>
      <c r="S12" s="6"/>
      <c r="T12" s="6"/>
      <c r="U12" s="6"/>
      <c r="V12" s="6"/>
      <c r="W12" s="6"/>
    </row>
    <row r="13" spans="1:23" ht="12.75" customHeight="1" x14ac:dyDescent="0.3">
      <c r="A13" s="9" t="s">
        <v>14</v>
      </c>
      <c r="B13" s="10"/>
      <c r="C13" s="10"/>
      <c r="D13" s="10"/>
      <c r="E13" s="10"/>
      <c r="F13" s="11"/>
      <c r="G13" s="9" t="s">
        <v>15</v>
      </c>
      <c r="H13" s="11"/>
      <c r="I13" s="12" t="s">
        <v>16</v>
      </c>
      <c r="J13" s="13" t="s">
        <v>17</v>
      </c>
      <c r="K13" s="14"/>
      <c r="L13" s="15"/>
      <c r="M13" s="13" t="s">
        <v>18</v>
      </c>
      <c r="N13" s="14"/>
      <c r="O13" s="15"/>
      <c r="P13" s="13" t="s">
        <v>19</v>
      </c>
      <c r="Q13" s="14"/>
      <c r="R13" s="15"/>
      <c r="S13" s="16" t="s">
        <v>20</v>
      </c>
      <c r="T13" s="16" t="s">
        <v>21</v>
      </c>
      <c r="U13" s="17"/>
      <c r="V13" s="17"/>
      <c r="W13" s="6"/>
    </row>
    <row r="14" spans="1:23" ht="12.75" customHeight="1" x14ac:dyDescent="0.3">
      <c r="A14" s="18"/>
      <c r="B14" s="2"/>
      <c r="C14" s="2"/>
      <c r="D14" s="2"/>
      <c r="E14" s="2"/>
      <c r="F14" s="19"/>
      <c r="G14" s="18"/>
      <c r="H14" s="19"/>
      <c r="I14" s="20" t="s">
        <v>22</v>
      </c>
      <c r="J14" s="21" t="s">
        <v>23</v>
      </c>
      <c r="K14" s="22" t="s">
        <v>24</v>
      </c>
      <c r="L14" s="21" t="s">
        <v>25</v>
      </c>
      <c r="M14" s="21" t="s">
        <v>23</v>
      </c>
      <c r="N14" s="22" t="s">
        <v>24</v>
      </c>
      <c r="O14" s="21" t="s">
        <v>25</v>
      </c>
      <c r="P14" s="21" t="s">
        <v>23</v>
      </c>
      <c r="Q14" s="22" t="s">
        <v>24</v>
      </c>
      <c r="R14" s="22" t="s">
        <v>25</v>
      </c>
      <c r="S14" s="23" t="s">
        <v>26</v>
      </c>
      <c r="T14" s="23" t="s">
        <v>27</v>
      </c>
      <c r="U14" s="17"/>
      <c r="V14" s="17"/>
      <c r="W14" s="6"/>
    </row>
    <row r="15" spans="1:23" ht="12.75" customHeight="1" x14ac:dyDescent="0.3">
      <c r="A15" s="24"/>
      <c r="B15" s="25"/>
      <c r="C15" s="25"/>
      <c r="D15" s="25"/>
      <c r="E15" s="25"/>
      <c r="F15" s="26"/>
      <c r="G15" s="24"/>
      <c r="H15" s="26"/>
      <c r="I15" s="27"/>
      <c r="J15" s="28"/>
      <c r="K15" s="28"/>
      <c r="L15" s="28"/>
      <c r="M15" s="28"/>
      <c r="N15" s="28"/>
      <c r="O15" s="28"/>
      <c r="P15" s="28"/>
      <c r="Q15" s="28"/>
      <c r="R15" s="28"/>
      <c r="S15" s="23" t="s">
        <v>28</v>
      </c>
      <c r="T15" s="23"/>
      <c r="U15" s="17"/>
      <c r="V15" s="17"/>
      <c r="W15" s="6"/>
    </row>
    <row r="16" spans="1:23" ht="12.75" customHeight="1" x14ac:dyDescent="0.3">
      <c r="A16" s="13">
        <v>1</v>
      </c>
      <c r="B16" s="14"/>
      <c r="C16" s="14"/>
      <c r="D16" s="14"/>
      <c r="E16" s="14"/>
      <c r="F16" s="15"/>
      <c r="G16" s="13">
        <v>2</v>
      </c>
      <c r="H16" s="15"/>
      <c r="I16" s="29">
        <v>3</v>
      </c>
      <c r="J16" s="29">
        <v>4</v>
      </c>
      <c r="K16" s="29">
        <v>5</v>
      </c>
      <c r="L16" s="29" t="s">
        <v>29</v>
      </c>
      <c r="M16" s="29">
        <v>7</v>
      </c>
      <c r="N16" s="29">
        <v>8</v>
      </c>
      <c r="O16" s="29" t="s">
        <v>30</v>
      </c>
      <c r="P16" s="29">
        <v>10</v>
      </c>
      <c r="Q16" s="29">
        <v>11</v>
      </c>
      <c r="R16" s="29" t="s">
        <v>31</v>
      </c>
      <c r="S16" s="29" t="s">
        <v>32</v>
      </c>
      <c r="T16" s="29" t="s">
        <v>33</v>
      </c>
      <c r="U16" s="17"/>
      <c r="V16" s="30">
        <v>37911000</v>
      </c>
      <c r="W16" s="6"/>
    </row>
    <row r="17" spans="1:27" ht="54" customHeight="1" x14ac:dyDescent="0.3">
      <c r="A17" s="31" t="s">
        <v>34</v>
      </c>
      <c r="B17" s="14"/>
      <c r="C17" s="14"/>
      <c r="D17" s="14"/>
      <c r="E17" s="14"/>
      <c r="F17" s="15"/>
      <c r="G17" s="32" t="s">
        <v>35</v>
      </c>
      <c r="H17" s="14"/>
      <c r="I17" s="33">
        <f t="shared" ref="I17:T17" si="0">+I18</f>
        <v>11588000</v>
      </c>
      <c r="J17" s="33">
        <f t="shared" si="0"/>
        <v>0</v>
      </c>
      <c r="K17" s="33">
        <f t="shared" si="0"/>
        <v>0</v>
      </c>
      <c r="L17" s="33">
        <f t="shared" si="0"/>
        <v>0</v>
      </c>
      <c r="M17" s="33">
        <f t="shared" si="0"/>
        <v>0</v>
      </c>
      <c r="N17" s="33">
        <f t="shared" si="0"/>
        <v>0</v>
      </c>
      <c r="O17" s="33">
        <f t="shared" si="0"/>
        <v>0</v>
      </c>
      <c r="P17" s="33">
        <f t="shared" si="0"/>
        <v>0</v>
      </c>
      <c r="Q17" s="33">
        <f t="shared" si="0"/>
        <v>0</v>
      </c>
      <c r="R17" s="33">
        <f t="shared" si="0"/>
        <v>0</v>
      </c>
      <c r="S17" s="33">
        <f t="shared" si="0"/>
        <v>0</v>
      </c>
      <c r="T17" s="33">
        <f t="shared" si="0"/>
        <v>11588000</v>
      </c>
      <c r="U17" s="34">
        <f>S17/I17*100</f>
        <v>0</v>
      </c>
      <c r="V17" s="35"/>
      <c r="W17" s="36">
        <f>S17/I17*100</f>
        <v>0</v>
      </c>
      <c r="X17" s="37"/>
      <c r="Y17" s="38">
        <f>S17+S19+S25+S28</f>
        <v>71118130</v>
      </c>
      <c r="Z17" s="38">
        <f>Y17+Y18+Y19+Y20</f>
        <v>579342998</v>
      </c>
      <c r="AA17" s="37"/>
    </row>
    <row r="18" spans="1:27" ht="26.25" customHeight="1" x14ac:dyDescent="0.3">
      <c r="A18" s="39">
        <v>5</v>
      </c>
      <c r="B18" s="40">
        <v>1</v>
      </c>
      <c r="C18" s="40" t="s">
        <v>36</v>
      </c>
      <c r="D18" s="40" t="s">
        <v>37</v>
      </c>
      <c r="E18" s="41" t="s">
        <v>37</v>
      </c>
      <c r="F18" s="42" t="s">
        <v>38</v>
      </c>
      <c r="G18" s="43" t="s">
        <v>39</v>
      </c>
      <c r="H18" s="15"/>
      <c r="I18" s="44">
        <v>11588000</v>
      </c>
      <c r="J18" s="45">
        <v>0</v>
      </c>
      <c r="K18" s="45">
        <v>0</v>
      </c>
      <c r="L18" s="46">
        <f>+J18+K18</f>
        <v>0</v>
      </c>
      <c r="M18" s="47"/>
      <c r="N18" s="47"/>
      <c r="O18" s="48">
        <f>+M18+N18</f>
        <v>0</v>
      </c>
      <c r="P18" s="47">
        <v>0</v>
      </c>
      <c r="Q18" s="47"/>
      <c r="R18" s="48">
        <f>+P18+Q18</f>
        <v>0</v>
      </c>
      <c r="S18" s="48">
        <f>+L18+O18+R18</f>
        <v>0</v>
      </c>
      <c r="T18" s="49">
        <f>+I18-S18</f>
        <v>11588000</v>
      </c>
      <c r="U18" s="50"/>
      <c r="V18" s="50"/>
      <c r="W18" s="36">
        <f>S18/I18*100</f>
        <v>0</v>
      </c>
      <c r="Y18" s="38">
        <f>S32</f>
        <v>0</v>
      </c>
    </row>
    <row r="19" spans="1:27" ht="35.25" customHeight="1" x14ac:dyDescent="0.25">
      <c r="A19" s="31" t="s">
        <v>40</v>
      </c>
      <c r="B19" s="14"/>
      <c r="C19" s="14"/>
      <c r="D19" s="14"/>
      <c r="E19" s="14"/>
      <c r="F19" s="15"/>
      <c r="G19" s="32" t="s">
        <v>41</v>
      </c>
      <c r="H19" s="14"/>
      <c r="I19" s="33">
        <f>SUM(I20:I24)</f>
        <v>84702795</v>
      </c>
      <c r="J19" s="33">
        <f t="shared" ref="J19:T19" si="1">SUM(J20:J24)</f>
        <v>0</v>
      </c>
      <c r="K19" s="33">
        <f t="shared" si="1"/>
        <v>0</v>
      </c>
      <c r="L19" s="33">
        <f t="shared" si="1"/>
        <v>0</v>
      </c>
      <c r="M19" s="33">
        <f t="shared" si="1"/>
        <v>0</v>
      </c>
      <c r="N19" s="33">
        <f t="shared" si="1"/>
        <v>0</v>
      </c>
      <c r="O19" s="33">
        <f t="shared" si="1"/>
        <v>0</v>
      </c>
      <c r="P19" s="33">
        <f t="shared" si="1"/>
        <v>0</v>
      </c>
      <c r="Q19" s="33">
        <f t="shared" si="1"/>
        <v>42748630</v>
      </c>
      <c r="R19" s="33">
        <f t="shared" si="1"/>
        <v>42748630</v>
      </c>
      <c r="S19" s="33">
        <f t="shared" si="1"/>
        <v>42748630</v>
      </c>
      <c r="T19" s="33">
        <f t="shared" si="1"/>
        <v>41954165</v>
      </c>
      <c r="U19" s="34">
        <f>S19/I19*100</f>
        <v>50.468972127779253</v>
      </c>
      <c r="V19" s="35"/>
      <c r="W19" s="51">
        <f>S19/I19*100</f>
        <v>50.468972127779253</v>
      </c>
      <c r="X19" s="37"/>
      <c r="Y19" s="38">
        <f>S44</f>
        <v>464886800</v>
      </c>
      <c r="Z19" s="37"/>
      <c r="AA19" s="37"/>
    </row>
    <row r="20" spans="1:27" ht="27.75" customHeight="1" x14ac:dyDescent="0.3">
      <c r="A20" s="52">
        <v>5</v>
      </c>
      <c r="B20" s="52">
        <v>1</v>
      </c>
      <c r="C20" s="53" t="s">
        <v>36</v>
      </c>
      <c r="D20" s="53" t="s">
        <v>37</v>
      </c>
      <c r="E20" s="53" t="s">
        <v>37</v>
      </c>
      <c r="F20" s="53" t="s">
        <v>42</v>
      </c>
      <c r="G20" s="54" t="s">
        <v>43</v>
      </c>
      <c r="H20" s="14"/>
      <c r="I20" s="55">
        <v>10296000</v>
      </c>
      <c r="J20" s="56">
        <v>0</v>
      </c>
      <c r="K20" s="56">
        <v>0</v>
      </c>
      <c r="L20" s="46">
        <f>+J20+K20</f>
        <v>0</v>
      </c>
      <c r="M20" s="57">
        <v>0</v>
      </c>
      <c r="N20" s="47">
        <v>0</v>
      </c>
      <c r="O20" s="48">
        <f>+M20+N20</f>
        <v>0</v>
      </c>
      <c r="P20" s="47">
        <v>0</v>
      </c>
      <c r="Q20" s="47"/>
      <c r="R20" s="48">
        <f t="shared" ref="R20:R24" si="2">+P20+Q20</f>
        <v>0</v>
      </c>
      <c r="S20" s="48">
        <f t="shared" ref="S20:S24" si="3">+L20+O20+R20</f>
        <v>0</v>
      </c>
      <c r="T20" s="49">
        <f t="shared" ref="T20:T24" si="4">+I20-S20</f>
        <v>10296000</v>
      </c>
      <c r="U20" s="50"/>
      <c r="V20" s="50"/>
      <c r="W20" s="36">
        <f>S20/I20*100</f>
        <v>0</v>
      </c>
      <c r="Y20" s="38">
        <f>S51</f>
        <v>43338068</v>
      </c>
    </row>
    <row r="21" spans="1:27" ht="27.75" customHeight="1" x14ac:dyDescent="0.3">
      <c r="A21" s="52">
        <v>5</v>
      </c>
      <c r="B21" s="52">
        <v>1</v>
      </c>
      <c r="C21" s="53" t="s">
        <v>36</v>
      </c>
      <c r="D21" s="53" t="s">
        <v>37</v>
      </c>
      <c r="E21" s="53" t="s">
        <v>37</v>
      </c>
      <c r="F21" s="53" t="s">
        <v>44</v>
      </c>
      <c r="G21" s="54" t="s">
        <v>45</v>
      </c>
      <c r="H21" s="14"/>
      <c r="I21" s="55">
        <v>16156355</v>
      </c>
      <c r="J21" s="56"/>
      <c r="K21" s="56"/>
      <c r="L21" s="46"/>
      <c r="M21" s="57"/>
      <c r="N21" s="56">
        <v>0</v>
      </c>
      <c r="O21" s="48">
        <f>+M21+N21</f>
        <v>0</v>
      </c>
      <c r="P21" s="47">
        <v>0</v>
      </c>
      <c r="Q21" s="47">
        <v>13121350</v>
      </c>
      <c r="R21" s="48">
        <f t="shared" si="2"/>
        <v>13121350</v>
      </c>
      <c r="S21" s="48">
        <f t="shared" si="3"/>
        <v>13121350</v>
      </c>
      <c r="T21" s="49">
        <f t="shared" si="4"/>
        <v>3035005</v>
      </c>
      <c r="U21" s="50">
        <f>I21+I22+I24</f>
        <v>73406795</v>
      </c>
      <c r="V21" s="50"/>
      <c r="W21" s="36"/>
      <c r="Y21" s="38"/>
    </row>
    <row r="22" spans="1:27" ht="24" customHeight="1" x14ac:dyDescent="0.3">
      <c r="A22" s="52">
        <v>5</v>
      </c>
      <c r="B22" s="52">
        <v>1</v>
      </c>
      <c r="C22" s="53" t="s">
        <v>36</v>
      </c>
      <c r="D22" s="53" t="s">
        <v>37</v>
      </c>
      <c r="E22" s="53" t="s">
        <v>37</v>
      </c>
      <c r="F22" s="53" t="s">
        <v>46</v>
      </c>
      <c r="G22" s="54" t="s">
        <v>47</v>
      </c>
      <c r="H22" s="14"/>
      <c r="I22" s="55">
        <v>22919640</v>
      </c>
      <c r="J22" s="45"/>
      <c r="K22" s="45"/>
      <c r="L22" s="48">
        <f>+J22+K22</f>
        <v>0</v>
      </c>
      <c r="M22" s="47"/>
      <c r="N22" s="45"/>
      <c r="O22" s="48">
        <f>+M22+N22</f>
        <v>0</v>
      </c>
      <c r="P22" s="47">
        <v>0</v>
      </c>
      <c r="Q22" s="47"/>
      <c r="R22" s="48">
        <f t="shared" si="2"/>
        <v>0</v>
      </c>
      <c r="S22" s="48">
        <f t="shared" si="3"/>
        <v>0</v>
      </c>
      <c r="T22" s="49">
        <f t="shared" si="4"/>
        <v>22919640</v>
      </c>
      <c r="U22" s="50"/>
      <c r="V22" s="50"/>
      <c r="W22" s="51">
        <f>S22/I22*100</f>
        <v>0</v>
      </c>
      <c r="X22" s="30"/>
      <c r="Y22" s="38" t="e">
        <f>#REF!+Y19+Y18+Y17+Y16</f>
        <v>#REF!</v>
      </c>
      <c r="Z22" s="30"/>
      <c r="AA22" s="30"/>
    </row>
    <row r="23" spans="1:27" ht="24" customHeight="1" x14ac:dyDescent="0.3">
      <c r="A23" s="52">
        <v>5</v>
      </c>
      <c r="B23" s="52">
        <v>1</v>
      </c>
      <c r="C23" s="53" t="s">
        <v>36</v>
      </c>
      <c r="D23" s="53" t="s">
        <v>37</v>
      </c>
      <c r="E23" s="53" t="s">
        <v>37</v>
      </c>
      <c r="F23" s="53" t="s">
        <v>48</v>
      </c>
      <c r="G23" s="54" t="s">
        <v>49</v>
      </c>
      <c r="H23" s="14"/>
      <c r="I23" s="55">
        <v>1000000</v>
      </c>
      <c r="J23" s="45"/>
      <c r="K23" s="45"/>
      <c r="L23" s="48">
        <f>+J23+K23</f>
        <v>0</v>
      </c>
      <c r="M23" s="47"/>
      <c r="N23" s="45"/>
      <c r="O23" s="48">
        <f>+M23+N23</f>
        <v>0</v>
      </c>
      <c r="P23" s="47">
        <v>0</v>
      </c>
      <c r="Q23" s="47">
        <v>0</v>
      </c>
      <c r="R23" s="48">
        <f t="shared" si="2"/>
        <v>0</v>
      </c>
      <c r="S23" s="48">
        <f t="shared" si="3"/>
        <v>0</v>
      </c>
      <c r="T23" s="49">
        <f t="shared" si="4"/>
        <v>1000000</v>
      </c>
      <c r="U23" s="50"/>
      <c r="V23" s="50"/>
      <c r="W23" s="51">
        <f>S23/I23*100</f>
        <v>0</v>
      </c>
      <c r="X23" s="30"/>
      <c r="Y23" s="38" t="e">
        <f>#REF!+Y20+Y19+Y18+Y17</f>
        <v>#REF!</v>
      </c>
      <c r="Z23" s="30"/>
      <c r="AA23" s="30"/>
    </row>
    <row r="24" spans="1:27" ht="24" customHeight="1" x14ac:dyDescent="0.3">
      <c r="A24" s="52">
        <v>5</v>
      </c>
      <c r="B24" s="52">
        <v>1</v>
      </c>
      <c r="C24" s="53" t="s">
        <v>36</v>
      </c>
      <c r="D24" s="53" t="s">
        <v>37</v>
      </c>
      <c r="E24" s="53" t="s">
        <v>37</v>
      </c>
      <c r="F24" s="53" t="s">
        <v>50</v>
      </c>
      <c r="G24" s="54" t="s">
        <v>51</v>
      </c>
      <c r="H24" s="14"/>
      <c r="I24" s="55">
        <v>34330800</v>
      </c>
      <c r="J24" s="45"/>
      <c r="K24" s="45"/>
      <c r="L24" s="46"/>
      <c r="M24" s="47"/>
      <c r="N24" s="45">
        <v>0</v>
      </c>
      <c r="O24" s="48">
        <f>+M24+N24</f>
        <v>0</v>
      </c>
      <c r="P24" s="47">
        <v>0</v>
      </c>
      <c r="Q24" s="47">
        <v>29627280</v>
      </c>
      <c r="R24" s="48">
        <f t="shared" si="2"/>
        <v>29627280</v>
      </c>
      <c r="S24" s="48">
        <f t="shared" si="3"/>
        <v>29627280</v>
      </c>
      <c r="T24" s="49">
        <f t="shared" si="4"/>
        <v>4703520</v>
      </c>
      <c r="U24" s="50"/>
      <c r="V24" s="50"/>
      <c r="W24" s="36">
        <f>S24/I24*100</f>
        <v>86.299416267608095</v>
      </c>
      <c r="Y24" s="38"/>
    </row>
    <row r="25" spans="1:27" ht="49.5" customHeight="1" x14ac:dyDescent="0.3">
      <c r="A25" s="31" t="s">
        <v>52</v>
      </c>
      <c r="B25" s="14"/>
      <c r="C25" s="14"/>
      <c r="D25" s="14"/>
      <c r="E25" s="14"/>
      <c r="F25" s="15"/>
      <c r="G25" s="32" t="s">
        <v>53</v>
      </c>
      <c r="H25" s="14"/>
      <c r="I25" s="33">
        <f>+I26+I27</f>
        <v>16982000</v>
      </c>
      <c r="J25" s="33">
        <f t="shared" ref="J25:T25" si="5">+J26+J27</f>
        <v>0</v>
      </c>
      <c r="K25" s="33">
        <f t="shared" si="5"/>
        <v>0</v>
      </c>
      <c r="L25" s="33">
        <f t="shared" si="5"/>
        <v>0</v>
      </c>
      <c r="M25" s="33">
        <f t="shared" si="5"/>
        <v>0</v>
      </c>
      <c r="N25" s="33">
        <f t="shared" si="5"/>
        <v>0</v>
      </c>
      <c r="O25" s="33">
        <f t="shared" si="5"/>
        <v>0</v>
      </c>
      <c r="P25" s="33">
        <f t="shared" si="5"/>
        <v>0</v>
      </c>
      <c r="Q25" s="33">
        <f t="shared" si="5"/>
        <v>0</v>
      </c>
      <c r="R25" s="33">
        <f t="shared" si="5"/>
        <v>0</v>
      </c>
      <c r="S25" s="33">
        <f t="shared" si="5"/>
        <v>0</v>
      </c>
      <c r="T25" s="33">
        <f t="shared" si="5"/>
        <v>16982000</v>
      </c>
      <c r="U25" s="34">
        <f>S25/I25*100</f>
        <v>0</v>
      </c>
      <c r="V25" s="35"/>
      <c r="W25" s="36">
        <f t="shared" ref="W25:W52" si="6">S25/I25*100</f>
        <v>0</v>
      </c>
      <c r="X25" s="37"/>
      <c r="Y25" s="38"/>
      <c r="Z25" s="37"/>
      <c r="AA25" s="37"/>
    </row>
    <row r="26" spans="1:27" ht="26.25" customHeight="1" x14ac:dyDescent="0.3">
      <c r="A26" s="52">
        <v>5</v>
      </c>
      <c r="B26" s="52">
        <v>1</v>
      </c>
      <c r="C26" s="53" t="s">
        <v>36</v>
      </c>
      <c r="D26" s="53" t="s">
        <v>37</v>
      </c>
      <c r="E26" s="53" t="s">
        <v>37</v>
      </c>
      <c r="F26" s="53" t="s">
        <v>44</v>
      </c>
      <c r="G26" s="54" t="s">
        <v>45</v>
      </c>
      <c r="H26" s="14"/>
      <c r="I26" s="55">
        <v>10250000</v>
      </c>
      <c r="J26" s="45">
        <v>0</v>
      </c>
      <c r="K26" s="45">
        <v>0</v>
      </c>
      <c r="L26" s="46">
        <f>+J26+K26</f>
        <v>0</v>
      </c>
      <c r="M26" s="47">
        <v>0</v>
      </c>
      <c r="N26" s="45">
        <v>0</v>
      </c>
      <c r="O26" s="46">
        <f>+M26+N26</f>
        <v>0</v>
      </c>
      <c r="P26" s="47">
        <v>0</v>
      </c>
      <c r="Q26" s="47"/>
      <c r="R26" s="48">
        <f>+P26+Q26</f>
        <v>0</v>
      </c>
      <c r="S26" s="48">
        <f>+L26+O26+R26</f>
        <v>0</v>
      </c>
      <c r="T26" s="49">
        <f>+I26-S26</f>
        <v>10250000</v>
      </c>
      <c r="U26" s="50"/>
      <c r="V26" s="50"/>
      <c r="W26" s="36">
        <f t="shared" si="6"/>
        <v>0</v>
      </c>
      <c r="Y26" s="38"/>
    </row>
    <row r="27" spans="1:27" ht="26.25" customHeight="1" x14ac:dyDescent="0.3">
      <c r="A27" s="52">
        <v>5</v>
      </c>
      <c r="B27" s="52">
        <v>1</v>
      </c>
      <c r="C27" s="53" t="s">
        <v>36</v>
      </c>
      <c r="D27" s="53" t="s">
        <v>37</v>
      </c>
      <c r="E27" s="53" t="s">
        <v>37</v>
      </c>
      <c r="F27" s="53" t="s">
        <v>54</v>
      </c>
      <c r="G27" s="54" t="s">
        <v>55</v>
      </c>
      <c r="H27" s="14"/>
      <c r="I27" s="55">
        <v>6732000</v>
      </c>
      <c r="J27" s="45">
        <v>0</v>
      </c>
      <c r="K27" s="45">
        <v>0</v>
      </c>
      <c r="L27" s="46">
        <f>+J27+K27</f>
        <v>0</v>
      </c>
      <c r="M27" s="47">
        <v>0</v>
      </c>
      <c r="N27" s="45">
        <v>0</v>
      </c>
      <c r="O27" s="46">
        <f>+M27+N27</f>
        <v>0</v>
      </c>
      <c r="P27" s="47">
        <v>0</v>
      </c>
      <c r="Q27" s="47"/>
      <c r="R27" s="48">
        <f>+P27+Q27</f>
        <v>0</v>
      </c>
      <c r="S27" s="48">
        <f>+L27+O27+R27</f>
        <v>0</v>
      </c>
      <c r="T27" s="49">
        <f>+I27-S27</f>
        <v>6732000</v>
      </c>
      <c r="U27" s="50"/>
      <c r="V27" s="50"/>
      <c r="W27" s="36">
        <f t="shared" si="6"/>
        <v>0</v>
      </c>
      <c r="Y27" s="38"/>
    </row>
    <row r="28" spans="1:27" ht="40.5" customHeight="1" x14ac:dyDescent="0.3">
      <c r="A28" s="31" t="s">
        <v>56</v>
      </c>
      <c r="B28" s="14"/>
      <c r="C28" s="14"/>
      <c r="D28" s="14"/>
      <c r="E28" s="14"/>
      <c r="F28" s="15"/>
      <c r="G28" s="32" t="s">
        <v>57</v>
      </c>
      <c r="H28" s="14"/>
      <c r="I28" s="33">
        <f>I29+I30+I31</f>
        <v>91779500</v>
      </c>
      <c r="J28" s="33">
        <f t="shared" ref="J28:T28" si="7">J29+J30+J31</f>
        <v>0</v>
      </c>
      <c r="K28" s="33">
        <f t="shared" si="7"/>
        <v>0</v>
      </c>
      <c r="L28" s="33">
        <f t="shared" si="7"/>
        <v>0</v>
      </c>
      <c r="M28" s="33">
        <f t="shared" si="7"/>
        <v>0</v>
      </c>
      <c r="N28" s="33">
        <f t="shared" si="7"/>
        <v>0</v>
      </c>
      <c r="O28" s="33">
        <f t="shared" si="7"/>
        <v>0</v>
      </c>
      <c r="P28" s="33">
        <f t="shared" si="7"/>
        <v>21608500</v>
      </c>
      <c r="Q28" s="33">
        <f t="shared" si="7"/>
        <v>6761000</v>
      </c>
      <c r="R28" s="33">
        <f t="shared" si="7"/>
        <v>28369500</v>
      </c>
      <c r="S28" s="33">
        <f t="shared" si="7"/>
        <v>28369500</v>
      </c>
      <c r="T28" s="33">
        <f t="shared" si="7"/>
        <v>63410000</v>
      </c>
      <c r="U28" s="34">
        <f>S28/I28*100</f>
        <v>30.910497442239283</v>
      </c>
      <c r="V28" s="35"/>
      <c r="W28" s="36">
        <f t="shared" si="6"/>
        <v>30.910497442239283</v>
      </c>
      <c r="X28" s="37"/>
      <c r="Y28" s="38"/>
      <c r="Z28" s="37"/>
      <c r="AA28" s="37"/>
    </row>
    <row r="29" spans="1:27" ht="18" customHeight="1" x14ac:dyDescent="0.3">
      <c r="A29" s="52">
        <v>5</v>
      </c>
      <c r="B29" s="52">
        <v>1</v>
      </c>
      <c r="C29" s="53" t="s">
        <v>36</v>
      </c>
      <c r="D29" s="53" t="s">
        <v>37</v>
      </c>
      <c r="E29" s="53" t="s">
        <v>37</v>
      </c>
      <c r="F29" s="53" t="s">
        <v>58</v>
      </c>
      <c r="G29" s="54" t="s">
        <v>59</v>
      </c>
      <c r="H29" s="14"/>
      <c r="I29" s="55">
        <v>14780000</v>
      </c>
      <c r="J29" s="56">
        <v>0</v>
      </c>
      <c r="K29" s="56">
        <v>0</v>
      </c>
      <c r="L29" s="46">
        <f t="shared" ref="L29:L31" si="8">+J29+K29</f>
        <v>0</v>
      </c>
      <c r="M29" s="57">
        <v>0</v>
      </c>
      <c r="N29" s="56">
        <v>0</v>
      </c>
      <c r="O29" s="46">
        <f t="shared" ref="O29:O31" si="9">+M29+N29</f>
        <v>0</v>
      </c>
      <c r="P29" s="47">
        <v>1813500</v>
      </c>
      <c r="Q29" s="47">
        <v>1311000</v>
      </c>
      <c r="R29" s="48">
        <f>+P29+Q29</f>
        <v>3124500</v>
      </c>
      <c r="S29" s="48">
        <f>+L29+O29+R29</f>
        <v>3124500</v>
      </c>
      <c r="T29" s="49">
        <f>+I29-S29</f>
        <v>11655500</v>
      </c>
      <c r="U29" s="50">
        <f>T29+Q29</f>
        <v>12966500</v>
      </c>
      <c r="V29" s="50"/>
      <c r="W29" s="36">
        <f t="shared" si="6"/>
        <v>21.140054127198919</v>
      </c>
      <c r="Y29" s="38"/>
    </row>
    <row r="30" spans="1:27" ht="18" customHeight="1" x14ac:dyDescent="0.3">
      <c r="A30" s="52">
        <v>5</v>
      </c>
      <c r="B30" s="52">
        <v>1</v>
      </c>
      <c r="C30" s="53" t="s">
        <v>36</v>
      </c>
      <c r="D30" s="53" t="s">
        <v>37</v>
      </c>
      <c r="E30" s="53" t="s">
        <v>37</v>
      </c>
      <c r="F30" s="53" t="s">
        <v>60</v>
      </c>
      <c r="G30" s="54" t="s">
        <v>61</v>
      </c>
      <c r="H30" s="14"/>
      <c r="I30" s="55">
        <v>17000000</v>
      </c>
      <c r="J30" s="56">
        <v>0</v>
      </c>
      <c r="K30" s="56">
        <v>0</v>
      </c>
      <c r="L30" s="46">
        <f t="shared" si="8"/>
        <v>0</v>
      </c>
      <c r="M30" s="57">
        <v>0</v>
      </c>
      <c r="N30" s="56">
        <v>0</v>
      </c>
      <c r="O30" s="46">
        <f t="shared" si="9"/>
        <v>0</v>
      </c>
      <c r="P30" s="47">
        <v>850000</v>
      </c>
      <c r="Q30" s="47">
        <v>1800000</v>
      </c>
      <c r="R30" s="48">
        <f>+P30+Q30</f>
        <v>2650000</v>
      </c>
      <c r="S30" s="48">
        <f>+L30+O30+R30</f>
        <v>2650000</v>
      </c>
      <c r="T30" s="49">
        <f>+I30-S30</f>
        <v>14350000</v>
      </c>
      <c r="U30" s="50"/>
      <c r="V30" s="50" t="e">
        <f>#REF!+Q31</f>
        <v>#REF!</v>
      </c>
      <c r="W30" s="36">
        <f t="shared" si="6"/>
        <v>15.588235294117647</v>
      </c>
      <c r="Y30" s="38"/>
    </row>
    <row r="31" spans="1:27" ht="18" customHeight="1" x14ac:dyDescent="0.3">
      <c r="A31" s="52">
        <v>5</v>
      </c>
      <c r="B31" s="52">
        <v>1</v>
      </c>
      <c r="C31" s="53" t="s">
        <v>36</v>
      </c>
      <c r="D31" s="53" t="s">
        <v>62</v>
      </c>
      <c r="E31" s="53" t="s">
        <v>37</v>
      </c>
      <c r="F31" s="53" t="s">
        <v>63</v>
      </c>
      <c r="G31" s="54" t="s">
        <v>64</v>
      </c>
      <c r="H31" s="14"/>
      <c r="I31" s="55">
        <v>59999500</v>
      </c>
      <c r="J31" s="45">
        <v>0</v>
      </c>
      <c r="K31" s="45">
        <v>0</v>
      </c>
      <c r="L31" s="46">
        <f t="shared" si="8"/>
        <v>0</v>
      </c>
      <c r="M31" s="47">
        <v>0</v>
      </c>
      <c r="N31" s="47">
        <v>0</v>
      </c>
      <c r="O31" s="46">
        <f t="shared" si="9"/>
        <v>0</v>
      </c>
      <c r="P31" s="47">
        <v>18945000</v>
      </c>
      <c r="Q31" s="47">
        <v>3650000</v>
      </c>
      <c r="R31" s="48">
        <f>+P31+Q31</f>
        <v>22595000</v>
      </c>
      <c r="S31" s="48">
        <f>+L31+O31+R31</f>
        <v>22595000</v>
      </c>
      <c r="T31" s="49">
        <f>+I31-S31</f>
        <v>37404500</v>
      </c>
      <c r="U31" s="50">
        <f>T31+T29</f>
        <v>49060000</v>
      </c>
      <c r="V31" s="50">
        <f>T31+Q31</f>
        <v>41054500</v>
      </c>
      <c r="W31" s="36">
        <f t="shared" si="6"/>
        <v>37.658647155392963</v>
      </c>
      <c r="Y31" s="38" t="e">
        <f>Q31+#REF!</f>
        <v>#REF!</v>
      </c>
    </row>
    <row r="32" spans="1:27" ht="48.75" hidden="1" customHeight="1" x14ac:dyDescent="0.3">
      <c r="A32" s="31" t="s">
        <v>65</v>
      </c>
      <c r="B32" s="14"/>
      <c r="C32" s="14"/>
      <c r="D32" s="14"/>
      <c r="E32" s="14"/>
      <c r="F32" s="15"/>
      <c r="G32" s="32" t="s">
        <v>66</v>
      </c>
      <c r="H32" s="14"/>
      <c r="I32" s="33">
        <f>SUM(I33:I33)</f>
        <v>0</v>
      </c>
      <c r="J32" s="33">
        <f t="shared" ref="J32:T32" si="10">SUM(J33:J33)</f>
        <v>0</v>
      </c>
      <c r="K32" s="33">
        <f t="shared" si="10"/>
        <v>0</v>
      </c>
      <c r="L32" s="33">
        <f t="shared" si="10"/>
        <v>0</v>
      </c>
      <c r="M32" s="33">
        <f t="shared" si="10"/>
        <v>0</v>
      </c>
      <c r="N32" s="33">
        <f t="shared" si="10"/>
        <v>0</v>
      </c>
      <c r="O32" s="33">
        <f t="shared" si="10"/>
        <v>0</v>
      </c>
      <c r="P32" s="33">
        <f t="shared" si="10"/>
        <v>0</v>
      </c>
      <c r="Q32" s="33">
        <f t="shared" si="10"/>
        <v>0</v>
      </c>
      <c r="R32" s="33">
        <f t="shared" si="10"/>
        <v>0</v>
      </c>
      <c r="S32" s="33">
        <f t="shared" si="10"/>
        <v>0</v>
      </c>
      <c r="T32" s="33">
        <f t="shared" si="10"/>
        <v>0</v>
      </c>
      <c r="U32" s="35" t="e">
        <f>S32/I32*100</f>
        <v>#DIV/0!</v>
      </c>
      <c r="V32" s="35"/>
      <c r="W32" s="36" t="e">
        <f t="shared" si="6"/>
        <v>#DIV/0!</v>
      </c>
      <c r="X32" s="37"/>
      <c r="Y32" s="38"/>
      <c r="Z32" s="37"/>
      <c r="AA32" s="37"/>
    </row>
    <row r="33" spans="1:27" ht="15.75" hidden="1" x14ac:dyDescent="0.3">
      <c r="A33" s="52">
        <v>5</v>
      </c>
      <c r="B33" s="53" t="s">
        <v>36</v>
      </c>
      <c r="C33" s="53" t="s">
        <v>36</v>
      </c>
      <c r="D33" s="53" t="s">
        <v>67</v>
      </c>
      <c r="E33" s="53" t="s">
        <v>37</v>
      </c>
      <c r="F33" s="53" t="s">
        <v>68</v>
      </c>
      <c r="G33" s="58" t="s">
        <v>69</v>
      </c>
      <c r="H33" s="14"/>
      <c r="I33" s="55">
        <v>0</v>
      </c>
      <c r="J33" s="56">
        <v>0</v>
      </c>
      <c r="K33" s="56">
        <v>0</v>
      </c>
      <c r="L33" s="46">
        <f>+J33+K33</f>
        <v>0</v>
      </c>
      <c r="M33" s="47">
        <v>0</v>
      </c>
      <c r="N33" s="57"/>
      <c r="O33" s="48">
        <f>+M33+N33</f>
        <v>0</v>
      </c>
      <c r="P33" s="47"/>
      <c r="Q33" s="47">
        <v>0</v>
      </c>
      <c r="R33" s="48">
        <f>P33+Q33</f>
        <v>0</v>
      </c>
      <c r="S33" s="48">
        <f t="shared" ref="S33" si="11">+L33+O33+R33</f>
        <v>0</v>
      </c>
      <c r="T33" s="49">
        <f t="shared" ref="T33" si="12">+I33-S33</f>
        <v>0</v>
      </c>
      <c r="U33" s="50"/>
      <c r="V33" s="50"/>
      <c r="W33" s="36" t="e">
        <f t="shared" si="6"/>
        <v>#DIV/0!</v>
      </c>
      <c r="Y33" s="38">
        <f t="shared" ref="Y33" si="13">+P33+Q33</f>
        <v>0</v>
      </c>
    </row>
    <row r="34" spans="1:27" ht="48.75" hidden="1" customHeight="1" x14ac:dyDescent="0.3">
      <c r="A34" s="31" t="s">
        <v>70</v>
      </c>
      <c r="B34" s="14"/>
      <c r="C34" s="14"/>
      <c r="D34" s="14"/>
      <c r="E34" s="14"/>
      <c r="F34" s="15"/>
      <c r="G34" s="32" t="s">
        <v>71</v>
      </c>
      <c r="H34" s="14"/>
      <c r="I34" s="33">
        <f>I35+I37+I36</f>
        <v>0</v>
      </c>
      <c r="J34" s="33">
        <f t="shared" ref="J34:T34" si="14">J35+J37+J36</f>
        <v>0</v>
      </c>
      <c r="K34" s="33">
        <f t="shared" si="14"/>
        <v>0</v>
      </c>
      <c r="L34" s="33">
        <f t="shared" si="14"/>
        <v>0</v>
      </c>
      <c r="M34" s="33">
        <f t="shared" si="14"/>
        <v>0</v>
      </c>
      <c r="N34" s="33">
        <f t="shared" si="14"/>
        <v>0</v>
      </c>
      <c r="O34" s="33">
        <f t="shared" si="14"/>
        <v>0</v>
      </c>
      <c r="P34" s="33">
        <f t="shared" si="14"/>
        <v>0</v>
      </c>
      <c r="Q34" s="33">
        <f t="shared" si="14"/>
        <v>0</v>
      </c>
      <c r="R34" s="33">
        <f t="shared" si="14"/>
        <v>0</v>
      </c>
      <c r="S34" s="33">
        <f t="shared" si="14"/>
        <v>0</v>
      </c>
      <c r="T34" s="33">
        <f t="shared" si="14"/>
        <v>0</v>
      </c>
      <c r="U34" s="35" t="e">
        <f>S34/I34*100</f>
        <v>#DIV/0!</v>
      </c>
      <c r="V34" s="35"/>
      <c r="W34" s="36" t="e">
        <f t="shared" si="6"/>
        <v>#DIV/0!</v>
      </c>
      <c r="X34" s="37"/>
      <c r="Y34" s="38"/>
      <c r="Z34" s="37"/>
      <c r="AA34" s="37"/>
    </row>
    <row r="35" spans="1:27" ht="15.75" hidden="1" x14ac:dyDescent="0.3">
      <c r="A35" s="52">
        <v>5</v>
      </c>
      <c r="B35" s="52">
        <v>1</v>
      </c>
      <c r="C35" s="53" t="s">
        <v>36</v>
      </c>
      <c r="D35" s="53" t="s">
        <v>36</v>
      </c>
      <c r="E35" s="53" t="s">
        <v>72</v>
      </c>
      <c r="F35" s="53" t="s">
        <v>73</v>
      </c>
      <c r="G35" s="58" t="s">
        <v>74</v>
      </c>
      <c r="H35" s="14"/>
      <c r="I35" s="44">
        <v>0</v>
      </c>
      <c r="J35" s="56">
        <v>0</v>
      </c>
      <c r="K35" s="56">
        <v>0</v>
      </c>
      <c r="L35" s="46">
        <f t="shared" ref="L35:L37" si="15">+J35+K35</f>
        <v>0</v>
      </c>
      <c r="M35" s="57"/>
      <c r="N35" s="57"/>
      <c r="O35" s="48">
        <f t="shared" ref="O35:O37" si="16">+M35+N35</f>
        <v>0</v>
      </c>
      <c r="P35" s="47">
        <v>0</v>
      </c>
      <c r="Q35" s="47">
        <v>0</v>
      </c>
      <c r="R35" s="46">
        <f>+P35+Q35</f>
        <v>0</v>
      </c>
      <c r="S35" s="48">
        <f>+L35+O35+R35</f>
        <v>0</v>
      </c>
      <c r="T35" s="49">
        <f>+I35-S35</f>
        <v>0</v>
      </c>
      <c r="U35" s="50"/>
      <c r="V35" s="50"/>
      <c r="W35" s="36" t="e">
        <f t="shared" si="6"/>
        <v>#DIV/0!</v>
      </c>
      <c r="Y35" s="38">
        <f>+P35+Q35</f>
        <v>0</v>
      </c>
    </row>
    <row r="36" spans="1:27" ht="15.75" hidden="1" x14ac:dyDescent="0.3">
      <c r="A36" s="52">
        <v>5</v>
      </c>
      <c r="B36" s="52">
        <v>2</v>
      </c>
      <c r="C36" s="53" t="s">
        <v>75</v>
      </c>
      <c r="D36" s="53" t="s">
        <v>37</v>
      </c>
      <c r="E36" s="53" t="s">
        <v>37</v>
      </c>
      <c r="F36" s="53" t="s">
        <v>63</v>
      </c>
      <c r="G36" s="54" t="s">
        <v>76</v>
      </c>
      <c r="H36" s="14"/>
      <c r="I36" s="55">
        <v>0</v>
      </c>
      <c r="J36" s="56">
        <v>0</v>
      </c>
      <c r="K36" s="56">
        <v>0</v>
      </c>
      <c r="L36" s="46">
        <f t="shared" si="15"/>
        <v>0</v>
      </c>
      <c r="M36" s="57"/>
      <c r="N36" s="47">
        <v>0</v>
      </c>
      <c r="O36" s="48">
        <f t="shared" si="16"/>
        <v>0</v>
      </c>
      <c r="P36" s="47">
        <v>0</v>
      </c>
      <c r="Q36" s="47">
        <v>0</v>
      </c>
      <c r="R36" s="46">
        <f>+P36+Q36</f>
        <v>0</v>
      </c>
      <c r="S36" s="48">
        <f>+L36+O36+R36</f>
        <v>0</v>
      </c>
      <c r="T36" s="49">
        <f>+I36-S36</f>
        <v>0</v>
      </c>
      <c r="U36" s="50"/>
      <c r="V36" s="50"/>
      <c r="W36" s="36" t="e">
        <f t="shared" si="6"/>
        <v>#DIV/0!</v>
      </c>
      <c r="Y36" s="38">
        <f>+P36+Q36</f>
        <v>0</v>
      </c>
    </row>
    <row r="37" spans="1:27" ht="15.75" hidden="1" x14ac:dyDescent="0.3">
      <c r="A37" s="52">
        <v>5</v>
      </c>
      <c r="B37" s="52">
        <v>2</v>
      </c>
      <c r="C37" s="53" t="s">
        <v>75</v>
      </c>
      <c r="D37" s="53" t="s">
        <v>62</v>
      </c>
      <c r="E37" s="53" t="s">
        <v>37</v>
      </c>
      <c r="F37" s="53" t="s">
        <v>68</v>
      </c>
      <c r="G37" s="54" t="s">
        <v>77</v>
      </c>
      <c r="H37" s="14"/>
      <c r="I37" s="44">
        <v>0</v>
      </c>
      <c r="J37" s="56">
        <v>0</v>
      </c>
      <c r="K37" s="56">
        <v>0</v>
      </c>
      <c r="L37" s="46">
        <f t="shared" si="15"/>
        <v>0</v>
      </c>
      <c r="M37" s="57"/>
      <c r="N37" s="57"/>
      <c r="O37" s="48">
        <f t="shared" si="16"/>
        <v>0</v>
      </c>
      <c r="P37" s="47">
        <v>0</v>
      </c>
      <c r="Q37" s="47">
        <v>0</v>
      </c>
      <c r="R37" s="46">
        <f>+P37+Q37</f>
        <v>0</v>
      </c>
      <c r="S37" s="48">
        <f>+L37+O37+R37</f>
        <v>0</v>
      </c>
      <c r="T37" s="49">
        <f>+I37-S37</f>
        <v>0</v>
      </c>
      <c r="U37" s="50"/>
      <c r="V37" s="50"/>
      <c r="W37" s="36" t="e">
        <f t="shared" si="6"/>
        <v>#DIV/0!</v>
      </c>
      <c r="Y37" s="38">
        <f>+P37+Q37</f>
        <v>0</v>
      </c>
    </row>
    <row r="38" spans="1:27" ht="48.75" customHeight="1" x14ac:dyDescent="0.3">
      <c r="A38" s="31" t="s">
        <v>78</v>
      </c>
      <c r="B38" s="14"/>
      <c r="C38" s="14"/>
      <c r="D38" s="14"/>
      <c r="E38" s="14"/>
      <c r="F38" s="15"/>
      <c r="G38" s="32" t="s">
        <v>79</v>
      </c>
      <c r="H38" s="14"/>
      <c r="I38" s="33">
        <f>I39</f>
        <v>99900000</v>
      </c>
      <c r="J38" s="33">
        <f t="shared" ref="J38:T38" si="17">J39</f>
        <v>0</v>
      </c>
      <c r="K38" s="33">
        <f t="shared" si="17"/>
        <v>0</v>
      </c>
      <c r="L38" s="33">
        <f t="shared" si="17"/>
        <v>0</v>
      </c>
      <c r="M38" s="33">
        <f t="shared" si="17"/>
        <v>0</v>
      </c>
      <c r="N38" s="33">
        <f t="shared" si="17"/>
        <v>0</v>
      </c>
      <c r="O38" s="33">
        <f t="shared" si="17"/>
        <v>0</v>
      </c>
      <c r="P38" s="33">
        <f t="shared" si="17"/>
        <v>0</v>
      </c>
      <c r="Q38" s="33">
        <f t="shared" si="17"/>
        <v>0</v>
      </c>
      <c r="R38" s="33">
        <f t="shared" si="17"/>
        <v>0</v>
      </c>
      <c r="S38" s="33">
        <f t="shared" si="17"/>
        <v>0</v>
      </c>
      <c r="T38" s="33">
        <f t="shared" si="17"/>
        <v>99900000</v>
      </c>
      <c r="U38" s="35">
        <f>S38/I38*100</f>
        <v>0</v>
      </c>
      <c r="V38" s="35"/>
      <c r="W38" s="36">
        <f t="shared" si="6"/>
        <v>0</v>
      </c>
      <c r="X38" s="37"/>
      <c r="Y38" s="38"/>
      <c r="Z38" s="37"/>
      <c r="AA38" s="37"/>
    </row>
    <row r="39" spans="1:27" ht="15.75" x14ac:dyDescent="0.3">
      <c r="A39" s="52">
        <v>5</v>
      </c>
      <c r="B39" s="52">
        <v>2</v>
      </c>
      <c r="C39" s="53" t="s">
        <v>36</v>
      </c>
      <c r="D39" s="53" t="s">
        <v>67</v>
      </c>
      <c r="E39" s="53" t="s">
        <v>36</v>
      </c>
      <c r="F39" s="53" t="s">
        <v>63</v>
      </c>
      <c r="G39" s="54" t="s">
        <v>80</v>
      </c>
      <c r="H39" s="14"/>
      <c r="I39" s="55">
        <v>99900000</v>
      </c>
      <c r="J39" s="56">
        <v>0</v>
      </c>
      <c r="K39" s="56">
        <v>0</v>
      </c>
      <c r="L39" s="46">
        <f>+J39+K39</f>
        <v>0</v>
      </c>
      <c r="M39" s="47">
        <v>0</v>
      </c>
      <c r="N39" s="57"/>
      <c r="O39" s="46">
        <f>+M39+N39</f>
        <v>0</v>
      </c>
      <c r="P39" s="47">
        <v>0</v>
      </c>
      <c r="Q39" s="47">
        <v>0</v>
      </c>
      <c r="R39" s="46">
        <f>+P39+Q39</f>
        <v>0</v>
      </c>
      <c r="S39" s="48">
        <f>+L39+O39+R39</f>
        <v>0</v>
      </c>
      <c r="T39" s="49">
        <f>+I39-S39</f>
        <v>99900000</v>
      </c>
      <c r="U39" s="50"/>
      <c r="V39" s="50"/>
      <c r="W39" s="36">
        <f t="shared" si="6"/>
        <v>0</v>
      </c>
      <c r="Y39" s="38">
        <f>+P39+Q39</f>
        <v>0</v>
      </c>
    </row>
    <row r="40" spans="1:27" ht="48.75" customHeight="1" x14ac:dyDescent="0.3">
      <c r="A40" s="31" t="s">
        <v>81</v>
      </c>
      <c r="B40" s="14"/>
      <c r="C40" s="14"/>
      <c r="D40" s="14"/>
      <c r="E40" s="14"/>
      <c r="F40" s="15"/>
      <c r="G40" s="32" t="s">
        <v>82</v>
      </c>
      <c r="H40" s="14"/>
      <c r="I40" s="33">
        <f t="shared" ref="I40:T40" si="18">+I41+I42+I43</f>
        <v>9704000</v>
      </c>
      <c r="J40" s="33">
        <f t="shared" si="18"/>
        <v>0</v>
      </c>
      <c r="K40" s="33">
        <f t="shared" si="18"/>
        <v>0</v>
      </c>
      <c r="L40" s="33">
        <f t="shared" si="18"/>
        <v>0</v>
      </c>
      <c r="M40" s="33">
        <f t="shared" si="18"/>
        <v>0</v>
      </c>
      <c r="N40" s="33"/>
      <c r="O40" s="33">
        <f t="shared" si="18"/>
        <v>0</v>
      </c>
      <c r="P40" s="33">
        <f t="shared" si="18"/>
        <v>1319000</v>
      </c>
      <c r="Q40" s="33">
        <f>+Q41+Q42+Q43</f>
        <v>625000</v>
      </c>
      <c r="R40" s="33">
        <f t="shared" si="18"/>
        <v>1944000</v>
      </c>
      <c r="S40" s="33">
        <f t="shared" si="18"/>
        <v>1944000</v>
      </c>
      <c r="T40" s="33">
        <f t="shared" si="18"/>
        <v>7760000</v>
      </c>
      <c r="U40" s="34">
        <f>S40/I40*100</f>
        <v>20.032976092333058</v>
      </c>
      <c r="V40" s="35"/>
      <c r="W40" s="36">
        <f t="shared" si="6"/>
        <v>20.032976092333058</v>
      </c>
      <c r="X40" s="37"/>
      <c r="Y40" s="38"/>
      <c r="Z40" s="37"/>
      <c r="AA40" s="37"/>
    </row>
    <row r="41" spans="1:27" ht="18.75" customHeight="1" x14ac:dyDescent="0.3">
      <c r="A41" s="52">
        <v>5</v>
      </c>
      <c r="B41" s="52">
        <v>1</v>
      </c>
      <c r="C41" s="53" t="s">
        <v>36</v>
      </c>
      <c r="D41" s="53" t="s">
        <v>36</v>
      </c>
      <c r="E41" s="53" t="s">
        <v>37</v>
      </c>
      <c r="F41" s="53" t="s">
        <v>83</v>
      </c>
      <c r="G41" s="54" t="s">
        <v>84</v>
      </c>
      <c r="H41" s="14"/>
      <c r="I41" s="44">
        <v>4650000</v>
      </c>
      <c r="J41" s="56">
        <v>0</v>
      </c>
      <c r="K41" s="56">
        <v>0</v>
      </c>
      <c r="L41" s="46">
        <f t="shared" ref="L41:L43" si="19">+J41+K41</f>
        <v>0</v>
      </c>
      <c r="M41" s="57"/>
      <c r="N41" s="57"/>
      <c r="O41" s="46">
        <f t="shared" ref="O41:O43" si="20">+M41+N41</f>
        <v>0</v>
      </c>
      <c r="P41" s="47">
        <v>819000</v>
      </c>
      <c r="Q41" s="47">
        <v>125000</v>
      </c>
      <c r="R41" s="48">
        <f>P41+Q41</f>
        <v>944000</v>
      </c>
      <c r="S41" s="48">
        <f>+L41+O41+R41</f>
        <v>944000</v>
      </c>
      <c r="T41" s="49">
        <f>+I41-S41</f>
        <v>3706000</v>
      </c>
      <c r="U41" s="50">
        <f>T41+T42+10000000</f>
        <v>17760000</v>
      </c>
      <c r="V41" s="50"/>
      <c r="W41" s="36">
        <f t="shared" si="6"/>
        <v>20.301075268817204</v>
      </c>
      <c r="Y41" s="38">
        <f t="shared" ref="Y41:Y76" si="21">+P41+Q41</f>
        <v>944000</v>
      </c>
    </row>
    <row r="42" spans="1:27" ht="18.75" customHeight="1" x14ac:dyDescent="0.3">
      <c r="A42" s="52">
        <v>5</v>
      </c>
      <c r="B42" s="52">
        <v>1</v>
      </c>
      <c r="C42" s="53" t="s">
        <v>36</v>
      </c>
      <c r="D42" s="53" t="s">
        <v>36</v>
      </c>
      <c r="E42" s="53" t="s">
        <v>37</v>
      </c>
      <c r="F42" s="53" t="s">
        <v>85</v>
      </c>
      <c r="G42" s="54" t="s">
        <v>86</v>
      </c>
      <c r="H42" s="14"/>
      <c r="I42" s="44">
        <v>5054000</v>
      </c>
      <c r="J42" s="56">
        <v>0</v>
      </c>
      <c r="K42" s="56">
        <v>0</v>
      </c>
      <c r="L42" s="46">
        <f t="shared" si="19"/>
        <v>0</v>
      </c>
      <c r="M42" s="57"/>
      <c r="N42" s="57"/>
      <c r="O42" s="46">
        <f t="shared" si="20"/>
        <v>0</v>
      </c>
      <c r="P42" s="47">
        <v>500000</v>
      </c>
      <c r="Q42" s="47">
        <v>500000</v>
      </c>
      <c r="R42" s="48">
        <f>P42+Q42</f>
        <v>1000000</v>
      </c>
      <c r="S42" s="48">
        <f>+L42+O42+R42</f>
        <v>1000000</v>
      </c>
      <c r="T42" s="49">
        <f>+I42-S42</f>
        <v>4054000</v>
      </c>
      <c r="U42" s="50">
        <f>T41+T42+T43</f>
        <v>7760000</v>
      </c>
      <c r="V42" s="50"/>
      <c r="W42" s="36">
        <f t="shared" si="6"/>
        <v>19.786307874950534</v>
      </c>
      <c r="Y42" s="38">
        <f t="shared" si="21"/>
        <v>1000000</v>
      </c>
    </row>
    <row r="43" spans="1:27" ht="18.75" hidden="1" customHeight="1" x14ac:dyDescent="0.3">
      <c r="A43" s="52">
        <v>5</v>
      </c>
      <c r="B43" s="52">
        <v>1</v>
      </c>
      <c r="C43" s="53" t="s">
        <v>36</v>
      </c>
      <c r="D43" s="53" t="s">
        <v>36</v>
      </c>
      <c r="E43" s="53" t="s">
        <v>37</v>
      </c>
      <c r="F43" s="53" t="s">
        <v>87</v>
      </c>
      <c r="G43" s="54" t="s">
        <v>88</v>
      </c>
      <c r="H43" s="14"/>
      <c r="I43" s="44">
        <v>0</v>
      </c>
      <c r="J43" s="56">
        <v>0</v>
      </c>
      <c r="K43" s="56">
        <v>0</v>
      </c>
      <c r="L43" s="46">
        <f t="shared" si="19"/>
        <v>0</v>
      </c>
      <c r="M43" s="57"/>
      <c r="N43" s="57"/>
      <c r="O43" s="46">
        <f t="shared" si="20"/>
        <v>0</v>
      </c>
      <c r="P43" s="47"/>
      <c r="Q43" s="47"/>
      <c r="R43" s="48">
        <f>P43+Q43</f>
        <v>0</v>
      </c>
      <c r="S43" s="48">
        <f>+L43+O43+R43</f>
        <v>0</v>
      </c>
      <c r="T43" s="49">
        <f>+I43-S43</f>
        <v>0</v>
      </c>
      <c r="U43" s="50"/>
      <c r="V43" s="50"/>
      <c r="W43" s="36" t="e">
        <f t="shared" si="6"/>
        <v>#DIV/0!</v>
      </c>
      <c r="Y43" s="38">
        <f t="shared" si="21"/>
        <v>0</v>
      </c>
    </row>
    <row r="44" spans="1:27" ht="36.75" customHeight="1" x14ac:dyDescent="0.3">
      <c r="A44" s="31" t="s">
        <v>89</v>
      </c>
      <c r="B44" s="14"/>
      <c r="C44" s="14"/>
      <c r="D44" s="14"/>
      <c r="E44" s="14"/>
      <c r="F44" s="15"/>
      <c r="G44" s="32" t="s">
        <v>90</v>
      </c>
      <c r="H44" s="14"/>
      <c r="I44" s="33">
        <f>SUM(I45:I50)</f>
        <v>1397341604.0999999</v>
      </c>
      <c r="J44" s="33">
        <f t="shared" ref="J44:T44" si="22">SUM(J45:J50)</f>
        <v>0</v>
      </c>
      <c r="K44" s="33">
        <f t="shared" si="22"/>
        <v>0</v>
      </c>
      <c r="L44" s="33">
        <f t="shared" si="22"/>
        <v>0</v>
      </c>
      <c r="M44" s="33">
        <f t="shared" si="22"/>
        <v>364681500</v>
      </c>
      <c r="N44" s="33">
        <f t="shared" si="22"/>
        <v>100205300</v>
      </c>
      <c r="O44" s="33">
        <f t="shared" si="22"/>
        <v>464886800</v>
      </c>
      <c r="P44" s="33">
        <f t="shared" si="22"/>
        <v>0</v>
      </c>
      <c r="Q44" s="33">
        <f t="shared" si="22"/>
        <v>0</v>
      </c>
      <c r="R44" s="33">
        <f t="shared" si="22"/>
        <v>0</v>
      </c>
      <c r="S44" s="33">
        <f t="shared" si="22"/>
        <v>464886800</v>
      </c>
      <c r="T44" s="33">
        <f t="shared" si="22"/>
        <v>932454804.10000002</v>
      </c>
      <c r="U44" s="34">
        <f>S44/I44*100</f>
        <v>33.269373690438734</v>
      </c>
      <c r="V44" s="35">
        <f>M44+P44</f>
        <v>364681500</v>
      </c>
      <c r="W44" s="36">
        <f t="shared" si="6"/>
        <v>33.269373690438734</v>
      </c>
      <c r="X44" s="37"/>
      <c r="Y44" s="38">
        <f t="shared" si="21"/>
        <v>0</v>
      </c>
      <c r="Z44" s="37"/>
      <c r="AA44" s="37"/>
    </row>
    <row r="45" spans="1:27" ht="24.75" customHeight="1" x14ac:dyDescent="0.3">
      <c r="A45" s="52">
        <v>5</v>
      </c>
      <c r="B45" s="52">
        <v>1</v>
      </c>
      <c r="C45" s="53" t="s">
        <v>36</v>
      </c>
      <c r="D45" s="53" t="s">
        <v>36</v>
      </c>
      <c r="E45" s="53" t="s">
        <v>37</v>
      </c>
      <c r="F45" s="53" t="s">
        <v>91</v>
      </c>
      <c r="G45" s="54" t="s">
        <v>92</v>
      </c>
      <c r="H45" s="14"/>
      <c r="I45" s="55">
        <v>167914344.24000001</v>
      </c>
      <c r="J45" s="45"/>
      <c r="K45" s="45"/>
      <c r="L45" s="46"/>
      <c r="M45" s="47">
        <v>39946558</v>
      </c>
      <c r="N45" s="47">
        <v>12772724</v>
      </c>
      <c r="O45" s="48">
        <f t="shared" ref="O45:O48" si="23">M45+N45</f>
        <v>52719282</v>
      </c>
      <c r="P45" s="47">
        <v>0</v>
      </c>
      <c r="Q45" s="47">
        <v>0</v>
      </c>
      <c r="R45" s="48">
        <f t="shared" ref="R45:R48" si="24">P45+Q45</f>
        <v>0</v>
      </c>
      <c r="S45" s="48">
        <f t="shared" ref="S45:S50" si="25">+L45+O45+R45</f>
        <v>52719282</v>
      </c>
      <c r="T45" s="49">
        <f t="shared" ref="T45:T50" si="26">+I45-S45</f>
        <v>115195062.24000001</v>
      </c>
      <c r="U45" s="50">
        <v>25197648</v>
      </c>
      <c r="V45" s="50"/>
      <c r="W45" s="36">
        <f t="shared" si="6"/>
        <v>31.396532701606674</v>
      </c>
      <c r="Y45" s="38">
        <f t="shared" si="21"/>
        <v>0</v>
      </c>
    </row>
    <row r="46" spans="1:27" ht="17.25" customHeight="1" x14ac:dyDescent="0.3">
      <c r="A46" s="52">
        <v>5</v>
      </c>
      <c r="B46" s="52">
        <v>1</v>
      </c>
      <c r="C46" s="53" t="s">
        <v>36</v>
      </c>
      <c r="D46" s="53" t="s">
        <v>36</v>
      </c>
      <c r="E46" s="53" t="s">
        <v>37</v>
      </c>
      <c r="F46" s="53" t="s">
        <v>50</v>
      </c>
      <c r="G46" s="54" t="s">
        <v>93</v>
      </c>
      <c r="H46" s="14"/>
      <c r="I46" s="55">
        <v>447771584.63999999</v>
      </c>
      <c r="J46" s="45"/>
      <c r="K46" s="45"/>
      <c r="L46" s="46"/>
      <c r="M46" s="47">
        <v>105500000</v>
      </c>
      <c r="N46" s="47">
        <v>34200000</v>
      </c>
      <c r="O46" s="48">
        <f t="shared" si="23"/>
        <v>139700000</v>
      </c>
      <c r="P46" s="47">
        <v>0</v>
      </c>
      <c r="Q46" s="47">
        <v>0</v>
      </c>
      <c r="R46" s="48">
        <f t="shared" si="24"/>
        <v>0</v>
      </c>
      <c r="S46" s="48">
        <f t="shared" si="25"/>
        <v>139700000</v>
      </c>
      <c r="T46" s="49">
        <f t="shared" si="26"/>
        <v>308071584.63999999</v>
      </c>
      <c r="U46" s="50"/>
      <c r="V46" s="50"/>
      <c r="W46" s="36">
        <f t="shared" si="6"/>
        <v>31.198942673487469</v>
      </c>
      <c r="Y46" s="38">
        <f t="shared" si="21"/>
        <v>0</v>
      </c>
    </row>
    <row r="47" spans="1:27" ht="24.75" customHeight="1" x14ac:dyDescent="0.3">
      <c r="A47" s="52">
        <v>5</v>
      </c>
      <c r="B47" s="52">
        <v>1</v>
      </c>
      <c r="C47" s="53" t="s">
        <v>36</v>
      </c>
      <c r="D47" s="53" t="s">
        <v>36</v>
      </c>
      <c r="E47" s="53" t="s">
        <v>37</v>
      </c>
      <c r="F47" s="53" t="s">
        <v>38</v>
      </c>
      <c r="G47" s="54" t="s">
        <v>94</v>
      </c>
      <c r="H47" s="14"/>
      <c r="I47" s="55">
        <v>578575665.18000007</v>
      </c>
      <c r="J47" s="45"/>
      <c r="K47" s="45"/>
      <c r="L47" s="46"/>
      <c r="M47" s="47">
        <v>140718400</v>
      </c>
      <c r="N47" s="47">
        <v>43785700</v>
      </c>
      <c r="O47" s="48">
        <f t="shared" si="23"/>
        <v>184504100</v>
      </c>
      <c r="P47" s="47">
        <v>0</v>
      </c>
      <c r="Q47" s="47">
        <v>0</v>
      </c>
      <c r="R47" s="48">
        <f t="shared" si="24"/>
        <v>0</v>
      </c>
      <c r="S47" s="48">
        <f t="shared" si="25"/>
        <v>184504100</v>
      </c>
      <c r="T47" s="49">
        <f t="shared" si="26"/>
        <v>394071565.18000007</v>
      </c>
      <c r="U47" s="50"/>
      <c r="V47" s="50"/>
      <c r="W47" s="36">
        <f t="shared" si="6"/>
        <v>31.889364019933179</v>
      </c>
      <c r="Y47" s="38">
        <f t="shared" si="21"/>
        <v>0</v>
      </c>
      <c r="Z47">
        <v>7554000</v>
      </c>
    </row>
    <row r="48" spans="1:27" ht="24.75" customHeight="1" x14ac:dyDescent="0.3">
      <c r="A48" s="52">
        <v>5</v>
      </c>
      <c r="B48" s="52">
        <v>1</v>
      </c>
      <c r="C48" s="53" t="s">
        <v>36</v>
      </c>
      <c r="D48" s="53" t="s">
        <v>36</v>
      </c>
      <c r="E48" s="53" t="s">
        <v>37</v>
      </c>
      <c r="F48" s="53" t="s">
        <v>95</v>
      </c>
      <c r="G48" s="54" t="s">
        <v>96</v>
      </c>
      <c r="H48" s="14"/>
      <c r="I48" s="55">
        <v>123160010.04000001</v>
      </c>
      <c r="J48" s="45"/>
      <c r="K48" s="45"/>
      <c r="L48" s="46"/>
      <c r="M48" s="47">
        <v>28516542</v>
      </c>
      <c r="N48" s="47">
        <v>9446876</v>
      </c>
      <c r="O48" s="48">
        <f t="shared" si="23"/>
        <v>37963418</v>
      </c>
      <c r="P48" s="47">
        <v>0</v>
      </c>
      <c r="Q48" s="47">
        <v>0</v>
      </c>
      <c r="R48" s="48">
        <f t="shared" si="24"/>
        <v>0</v>
      </c>
      <c r="S48" s="48">
        <f t="shared" si="25"/>
        <v>37963418</v>
      </c>
      <c r="T48" s="49">
        <f t="shared" si="26"/>
        <v>85196592.040000007</v>
      </c>
      <c r="U48" s="50">
        <v>17608052</v>
      </c>
      <c r="V48" s="50"/>
      <c r="W48" s="36">
        <f t="shared" si="6"/>
        <v>30.824468094530204</v>
      </c>
      <c r="Y48" s="38">
        <f t="shared" si="21"/>
        <v>0</v>
      </c>
      <c r="Z48">
        <v>7554000</v>
      </c>
    </row>
    <row r="49" spans="1:27" ht="24.75" customHeight="1" x14ac:dyDescent="0.3">
      <c r="A49" s="52">
        <v>5</v>
      </c>
      <c r="B49" s="52">
        <v>1</v>
      </c>
      <c r="C49" s="53" t="s">
        <v>36</v>
      </c>
      <c r="D49" s="53" t="s">
        <v>36</v>
      </c>
      <c r="E49" s="53" t="s">
        <v>62</v>
      </c>
      <c r="F49" s="53" t="s">
        <v>97</v>
      </c>
      <c r="G49" s="54" t="s">
        <v>98</v>
      </c>
      <c r="H49" s="14"/>
      <c r="I49" s="55">
        <v>4620000</v>
      </c>
      <c r="J49" s="45"/>
      <c r="K49" s="45"/>
      <c r="L49" s="46"/>
      <c r="M49" s="47">
        <v>0</v>
      </c>
      <c r="N49" s="47"/>
      <c r="O49" s="48">
        <f t="shared" ref="O49:O50" si="27">+M49+N49</f>
        <v>0</v>
      </c>
      <c r="P49" s="47"/>
      <c r="Q49" s="47"/>
      <c r="R49" s="48">
        <f>+P49+Q49</f>
        <v>0</v>
      </c>
      <c r="S49" s="48">
        <f t="shared" si="25"/>
        <v>0</v>
      </c>
      <c r="T49" s="49">
        <f t="shared" si="26"/>
        <v>4620000</v>
      </c>
      <c r="U49" s="50"/>
      <c r="V49" s="50"/>
      <c r="W49" s="36">
        <f t="shared" si="6"/>
        <v>0</v>
      </c>
      <c r="Y49" s="38">
        <f t="shared" si="21"/>
        <v>0</v>
      </c>
    </row>
    <row r="50" spans="1:27" ht="24.75" customHeight="1" x14ac:dyDescent="0.3">
      <c r="A50" s="52">
        <v>5</v>
      </c>
      <c r="B50" s="52">
        <v>1</v>
      </c>
      <c r="C50" s="53" t="s">
        <v>36</v>
      </c>
      <c r="D50" s="53" t="s">
        <v>36</v>
      </c>
      <c r="E50" s="53" t="s">
        <v>67</v>
      </c>
      <c r="F50" s="53" t="s">
        <v>63</v>
      </c>
      <c r="G50" s="54" t="s">
        <v>99</v>
      </c>
      <c r="H50" s="14"/>
      <c r="I50" s="55">
        <v>75300000</v>
      </c>
      <c r="J50" s="45"/>
      <c r="K50" s="45"/>
      <c r="L50" s="46"/>
      <c r="M50" s="47">
        <v>50000000</v>
      </c>
      <c r="N50" s="47"/>
      <c r="O50" s="48">
        <f t="shared" si="27"/>
        <v>50000000</v>
      </c>
      <c r="P50" s="47"/>
      <c r="Q50" s="47"/>
      <c r="R50" s="48">
        <f>+P50+Q50</f>
        <v>0</v>
      </c>
      <c r="S50" s="48">
        <f t="shared" si="25"/>
        <v>50000000</v>
      </c>
      <c r="T50" s="49">
        <f t="shared" si="26"/>
        <v>25300000</v>
      </c>
      <c r="U50" s="50"/>
      <c r="V50" s="50"/>
      <c r="W50" s="36">
        <f t="shared" si="6"/>
        <v>66.40106241699867</v>
      </c>
      <c r="Y50" s="38">
        <f t="shared" si="21"/>
        <v>0</v>
      </c>
    </row>
    <row r="51" spans="1:27" ht="43.5" customHeight="1" x14ac:dyDescent="0.3">
      <c r="A51" s="31" t="s">
        <v>100</v>
      </c>
      <c r="B51" s="14"/>
      <c r="C51" s="14"/>
      <c r="D51" s="14"/>
      <c r="E51" s="14"/>
      <c r="F51" s="15"/>
      <c r="G51" s="32" t="s">
        <v>101</v>
      </c>
      <c r="H51" s="14"/>
      <c r="I51" s="33">
        <f t="shared" ref="I51:T51" si="28">SUM(I52:I54)</f>
        <v>305425000</v>
      </c>
      <c r="J51" s="33">
        <f t="shared" si="28"/>
        <v>0</v>
      </c>
      <c r="K51" s="33">
        <f t="shared" si="28"/>
        <v>0</v>
      </c>
      <c r="L51" s="33">
        <f t="shared" si="28"/>
        <v>0</v>
      </c>
      <c r="M51" s="33">
        <f t="shared" si="28"/>
        <v>0</v>
      </c>
      <c r="N51" s="33">
        <f t="shared" si="28"/>
        <v>0</v>
      </c>
      <c r="O51" s="33">
        <f t="shared" si="28"/>
        <v>0</v>
      </c>
      <c r="P51" s="33">
        <f t="shared" si="28"/>
        <v>18507774</v>
      </c>
      <c r="Q51" s="33">
        <f t="shared" si="28"/>
        <v>24830294</v>
      </c>
      <c r="R51" s="33">
        <f t="shared" si="28"/>
        <v>43338068</v>
      </c>
      <c r="S51" s="33">
        <f t="shared" si="28"/>
        <v>43338068</v>
      </c>
      <c r="T51" s="33">
        <f t="shared" si="28"/>
        <v>262086932</v>
      </c>
      <c r="U51" s="34">
        <f>S51/I51*100</f>
        <v>14.189430465744454</v>
      </c>
      <c r="V51" s="35">
        <f>I51+I55+I59</f>
        <v>630969200</v>
      </c>
      <c r="W51" s="36">
        <f t="shared" si="6"/>
        <v>14.189430465744454</v>
      </c>
      <c r="X51" s="37"/>
      <c r="Y51" s="38">
        <f t="shared" si="21"/>
        <v>43338068</v>
      </c>
      <c r="Z51" s="37"/>
      <c r="AA51" s="37"/>
    </row>
    <row r="52" spans="1:27" ht="19.5" hidden="1" customHeight="1" x14ac:dyDescent="0.3">
      <c r="A52" s="52">
        <v>5</v>
      </c>
      <c r="B52" s="52">
        <v>1</v>
      </c>
      <c r="C52" s="53" t="s">
        <v>36</v>
      </c>
      <c r="D52" s="53" t="s">
        <v>37</v>
      </c>
      <c r="E52" s="53" t="s">
        <v>37</v>
      </c>
      <c r="F52" s="53" t="s">
        <v>68</v>
      </c>
      <c r="G52" s="54" t="s">
        <v>102</v>
      </c>
      <c r="H52" s="14"/>
      <c r="I52" s="44">
        <v>0</v>
      </c>
      <c r="J52" s="56">
        <v>0</v>
      </c>
      <c r="K52" s="56">
        <v>0</v>
      </c>
      <c r="L52" s="46">
        <f>+J52+K52</f>
        <v>0</v>
      </c>
      <c r="M52" s="57">
        <v>0</v>
      </c>
      <c r="N52" s="56">
        <v>0</v>
      </c>
      <c r="O52" s="46">
        <f>+M52+N52</f>
        <v>0</v>
      </c>
      <c r="P52" s="48"/>
      <c r="Q52" s="48"/>
      <c r="R52" s="48">
        <f>+P52+Q52</f>
        <v>0</v>
      </c>
      <c r="S52" s="48">
        <f>+L52+O52+R52</f>
        <v>0</v>
      </c>
      <c r="T52" s="49">
        <f>+I52-S52</f>
        <v>0</v>
      </c>
      <c r="U52" s="50">
        <f>T52+T53+T54</f>
        <v>262086932</v>
      </c>
      <c r="V52" s="50"/>
      <c r="W52" s="36" t="e">
        <f t="shared" si="6"/>
        <v>#DIV/0!</v>
      </c>
      <c r="Y52" s="38">
        <f t="shared" si="21"/>
        <v>0</v>
      </c>
    </row>
    <row r="53" spans="1:27" ht="29.25" customHeight="1" x14ac:dyDescent="0.3">
      <c r="A53" s="52">
        <v>5</v>
      </c>
      <c r="B53" s="52">
        <v>1</v>
      </c>
      <c r="C53" s="53" t="s">
        <v>36</v>
      </c>
      <c r="D53" s="53" t="s">
        <v>36</v>
      </c>
      <c r="E53" s="53" t="s">
        <v>37</v>
      </c>
      <c r="F53" s="53" t="s">
        <v>103</v>
      </c>
      <c r="G53" s="54" t="s">
        <v>104</v>
      </c>
      <c r="H53" s="14"/>
      <c r="I53" s="55">
        <v>13705000</v>
      </c>
      <c r="J53" s="56"/>
      <c r="K53" s="56"/>
      <c r="L53" s="46"/>
      <c r="M53" s="57"/>
      <c r="N53" s="56"/>
      <c r="O53" s="46"/>
      <c r="P53" s="47">
        <v>0</v>
      </c>
      <c r="Q53" s="47">
        <v>1103900</v>
      </c>
      <c r="R53" s="48">
        <f>+P53+Q53</f>
        <v>1103900</v>
      </c>
      <c r="S53" s="48">
        <f>+L53+O53+R53</f>
        <v>1103900</v>
      </c>
      <c r="T53" s="49">
        <f>+I53-R53</f>
        <v>12601100</v>
      </c>
      <c r="U53" s="50"/>
      <c r="V53" s="50">
        <f>I32+I55</f>
        <v>32095400</v>
      </c>
      <c r="W53" s="36"/>
      <c r="Y53" s="38">
        <f t="shared" si="21"/>
        <v>1103900</v>
      </c>
    </row>
    <row r="54" spans="1:27" ht="27.75" customHeight="1" x14ac:dyDescent="0.3">
      <c r="A54" s="52">
        <v>5</v>
      </c>
      <c r="B54" s="52">
        <v>1</v>
      </c>
      <c r="C54" s="53" t="s">
        <v>36</v>
      </c>
      <c r="D54" s="53" t="s">
        <v>75</v>
      </c>
      <c r="E54" s="53" t="s">
        <v>36</v>
      </c>
      <c r="F54" s="53" t="s">
        <v>105</v>
      </c>
      <c r="G54" s="54" t="s">
        <v>106</v>
      </c>
      <c r="H54" s="14"/>
      <c r="I54" s="55">
        <v>291720000</v>
      </c>
      <c r="J54" s="45">
        <v>0</v>
      </c>
      <c r="K54" s="45">
        <v>0</v>
      </c>
      <c r="L54" s="46">
        <f>+J54+K54</f>
        <v>0</v>
      </c>
      <c r="M54" s="47">
        <v>0</v>
      </c>
      <c r="N54" s="45">
        <v>0</v>
      </c>
      <c r="O54" s="46">
        <f>+M54+N54</f>
        <v>0</v>
      </c>
      <c r="P54" s="47">
        <v>18507774</v>
      </c>
      <c r="Q54" s="59">
        <v>23726394</v>
      </c>
      <c r="R54" s="48">
        <f>+P54+Q54</f>
        <v>42234168</v>
      </c>
      <c r="S54" s="48">
        <f>+L54+O54+R54</f>
        <v>42234168</v>
      </c>
      <c r="T54" s="49">
        <f>+I54-S54</f>
        <v>249485832</v>
      </c>
      <c r="U54" s="50"/>
      <c r="V54" s="50"/>
      <c r="W54" s="36">
        <f t="shared" ref="W54:W76" si="29">S54/I54*100</f>
        <v>14.477638831756479</v>
      </c>
      <c r="Y54" s="38">
        <f t="shared" si="21"/>
        <v>42234168</v>
      </c>
    </row>
    <row r="55" spans="1:27" ht="52.5" customHeight="1" x14ac:dyDescent="0.3">
      <c r="A55" s="31" t="s">
        <v>107</v>
      </c>
      <c r="B55" s="14"/>
      <c r="C55" s="14"/>
      <c r="D55" s="14"/>
      <c r="E55" s="14"/>
      <c r="F55" s="15"/>
      <c r="G55" s="32" t="s">
        <v>108</v>
      </c>
      <c r="H55" s="14"/>
      <c r="I55" s="33">
        <f>I56+I57+I58</f>
        <v>32095400</v>
      </c>
      <c r="J55" s="33">
        <f t="shared" ref="J55:T55" si="30">J56+J57+J58</f>
        <v>0</v>
      </c>
      <c r="K55" s="33">
        <f t="shared" si="30"/>
        <v>0</v>
      </c>
      <c r="L55" s="33">
        <f t="shared" si="30"/>
        <v>0</v>
      </c>
      <c r="M55" s="33">
        <f t="shared" si="30"/>
        <v>0</v>
      </c>
      <c r="N55" s="33">
        <f t="shared" si="30"/>
        <v>0</v>
      </c>
      <c r="O55" s="33">
        <f t="shared" si="30"/>
        <v>0</v>
      </c>
      <c r="P55" s="33">
        <f t="shared" si="30"/>
        <v>0</v>
      </c>
      <c r="Q55" s="33">
        <f t="shared" si="30"/>
        <v>1310000</v>
      </c>
      <c r="R55" s="33">
        <f t="shared" si="30"/>
        <v>1310000</v>
      </c>
      <c r="S55" s="33">
        <f t="shared" si="30"/>
        <v>1310000</v>
      </c>
      <c r="T55" s="33">
        <f t="shared" si="30"/>
        <v>30785400</v>
      </c>
      <c r="U55" s="34">
        <f>S55/I55*100</f>
        <v>4.0815817843055395</v>
      </c>
      <c r="V55" s="35"/>
      <c r="W55" s="36">
        <f t="shared" si="29"/>
        <v>4.0815817843055395</v>
      </c>
      <c r="X55" s="37"/>
      <c r="Y55" s="38">
        <f t="shared" si="21"/>
        <v>1310000</v>
      </c>
      <c r="Z55" s="37"/>
      <c r="AA55" s="37"/>
    </row>
    <row r="56" spans="1:27" ht="19.5" customHeight="1" x14ac:dyDescent="0.3">
      <c r="A56" s="52">
        <v>5</v>
      </c>
      <c r="B56" s="52">
        <v>1</v>
      </c>
      <c r="C56" s="53" t="s">
        <v>36</v>
      </c>
      <c r="D56" s="53" t="s">
        <v>37</v>
      </c>
      <c r="E56" s="53" t="s">
        <v>37</v>
      </c>
      <c r="F56" s="53" t="s">
        <v>68</v>
      </c>
      <c r="G56" s="54" t="s">
        <v>102</v>
      </c>
      <c r="H56" s="14"/>
      <c r="I56" s="55">
        <v>8745400</v>
      </c>
      <c r="J56" s="56">
        <v>0</v>
      </c>
      <c r="K56" s="56">
        <v>0</v>
      </c>
      <c r="L56" s="46">
        <f t="shared" ref="L56:L58" si="31">+J56+K56</f>
        <v>0</v>
      </c>
      <c r="M56" s="57"/>
      <c r="N56" s="56">
        <v>0</v>
      </c>
      <c r="O56" s="46">
        <f t="shared" ref="O56:O58" si="32">+M56+N56</f>
        <v>0</v>
      </c>
      <c r="P56" s="47">
        <v>0</v>
      </c>
      <c r="Q56" s="47">
        <v>0</v>
      </c>
      <c r="R56" s="48">
        <f>P56+Q56</f>
        <v>0</v>
      </c>
      <c r="S56" s="48">
        <f t="shared" ref="S56:S58" si="33">+L56+O56+R56</f>
        <v>0</v>
      </c>
      <c r="T56" s="49">
        <f t="shared" ref="T56:T58" si="34">+I56-S56</f>
        <v>8745400</v>
      </c>
      <c r="U56" s="50">
        <f>T56+T58</f>
        <v>22945400</v>
      </c>
      <c r="V56" s="50"/>
      <c r="W56" s="36">
        <f t="shared" si="29"/>
        <v>0</v>
      </c>
      <c r="Y56" s="38">
        <f t="shared" si="21"/>
        <v>0</v>
      </c>
    </row>
    <row r="57" spans="1:27" ht="19.5" customHeight="1" x14ac:dyDescent="0.3">
      <c r="A57" s="52">
        <v>5</v>
      </c>
      <c r="B57" s="52">
        <v>1</v>
      </c>
      <c r="C57" s="53" t="s">
        <v>36</v>
      </c>
      <c r="D57" s="53" t="s">
        <v>75</v>
      </c>
      <c r="E57" s="53" t="s">
        <v>36</v>
      </c>
      <c r="F57" s="53" t="s">
        <v>109</v>
      </c>
      <c r="G57" s="58" t="s">
        <v>110</v>
      </c>
      <c r="H57" s="14"/>
      <c r="I57" s="55">
        <v>9150000</v>
      </c>
      <c r="J57" s="56">
        <v>0</v>
      </c>
      <c r="K57" s="56">
        <v>0</v>
      </c>
      <c r="L57" s="46">
        <f t="shared" si="31"/>
        <v>0</v>
      </c>
      <c r="M57" s="57"/>
      <c r="N57" s="56"/>
      <c r="O57" s="46">
        <f t="shared" si="32"/>
        <v>0</v>
      </c>
      <c r="P57" s="47">
        <v>0</v>
      </c>
      <c r="Q57" s="47">
        <v>1310000</v>
      </c>
      <c r="R57" s="48">
        <f>P57+Q57</f>
        <v>1310000</v>
      </c>
      <c r="S57" s="48">
        <f t="shared" si="33"/>
        <v>1310000</v>
      </c>
      <c r="T57" s="49">
        <f t="shared" si="34"/>
        <v>7840000</v>
      </c>
      <c r="U57" s="50"/>
      <c r="V57" s="50"/>
      <c r="W57" s="36">
        <f t="shared" si="29"/>
        <v>14.316939890710382</v>
      </c>
      <c r="Y57" s="38">
        <f t="shared" si="21"/>
        <v>1310000</v>
      </c>
    </row>
    <row r="58" spans="1:27" ht="19.5" customHeight="1" x14ac:dyDescent="0.3">
      <c r="A58" s="52">
        <v>5</v>
      </c>
      <c r="B58" s="52">
        <v>1</v>
      </c>
      <c r="C58" s="53" t="s">
        <v>36</v>
      </c>
      <c r="D58" s="53" t="s">
        <v>75</v>
      </c>
      <c r="E58" s="53" t="s">
        <v>36</v>
      </c>
      <c r="F58" s="53" t="s">
        <v>111</v>
      </c>
      <c r="G58" s="58" t="s">
        <v>112</v>
      </c>
      <c r="H58" s="14"/>
      <c r="I58" s="55">
        <v>14200000</v>
      </c>
      <c r="J58" s="56">
        <v>0</v>
      </c>
      <c r="K58" s="56">
        <v>0</v>
      </c>
      <c r="L58" s="46">
        <f t="shared" si="31"/>
        <v>0</v>
      </c>
      <c r="M58" s="57"/>
      <c r="N58" s="56"/>
      <c r="O58" s="46">
        <f t="shared" si="32"/>
        <v>0</v>
      </c>
      <c r="P58" s="47">
        <v>0</v>
      </c>
      <c r="Q58" s="47"/>
      <c r="R58" s="48">
        <f>P58+Q58</f>
        <v>0</v>
      </c>
      <c r="S58" s="48">
        <f t="shared" si="33"/>
        <v>0</v>
      </c>
      <c r="T58" s="49">
        <f t="shared" si="34"/>
        <v>14200000</v>
      </c>
      <c r="U58" s="50"/>
      <c r="V58" s="50"/>
      <c r="W58" s="36">
        <f t="shared" si="29"/>
        <v>0</v>
      </c>
      <c r="Y58" s="38">
        <f t="shared" si="21"/>
        <v>0</v>
      </c>
    </row>
    <row r="59" spans="1:27" ht="52.5" customHeight="1" x14ac:dyDescent="0.3">
      <c r="A59" s="31" t="s">
        <v>113</v>
      </c>
      <c r="B59" s="14"/>
      <c r="C59" s="14"/>
      <c r="D59" s="14"/>
      <c r="E59" s="14"/>
      <c r="F59" s="15"/>
      <c r="G59" s="32" t="s">
        <v>114</v>
      </c>
      <c r="H59" s="14"/>
      <c r="I59" s="33">
        <f>I60+I61</f>
        <v>293448800</v>
      </c>
      <c r="J59" s="33">
        <f t="shared" ref="J59:T59" si="35">J60+J61</f>
        <v>0</v>
      </c>
      <c r="K59" s="33">
        <f t="shared" si="35"/>
        <v>0</v>
      </c>
      <c r="L59" s="33">
        <f t="shared" si="35"/>
        <v>0</v>
      </c>
      <c r="M59" s="33">
        <f t="shared" si="35"/>
        <v>0</v>
      </c>
      <c r="N59" s="33">
        <f t="shared" si="35"/>
        <v>0</v>
      </c>
      <c r="O59" s="33">
        <f t="shared" si="35"/>
        <v>0</v>
      </c>
      <c r="P59" s="33">
        <f t="shared" si="35"/>
        <v>0</v>
      </c>
      <c r="Q59" s="33">
        <f t="shared" si="35"/>
        <v>0</v>
      </c>
      <c r="R59" s="33">
        <f t="shared" si="35"/>
        <v>0</v>
      </c>
      <c r="S59" s="33">
        <f t="shared" si="35"/>
        <v>0</v>
      </c>
      <c r="T59" s="33">
        <f t="shared" si="35"/>
        <v>293448800</v>
      </c>
      <c r="U59" s="34">
        <f>S59/I59*100</f>
        <v>0</v>
      </c>
      <c r="V59" s="35"/>
      <c r="W59" s="36">
        <f t="shared" si="29"/>
        <v>0</v>
      </c>
      <c r="X59" s="37"/>
      <c r="Y59" s="38">
        <f t="shared" si="21"/>
        <v>0</v>
      </c>
      <c r="Z59" s="37"/>
      <c r="AA59" s="37"/>
    </row>
    <row r="60" spans="1:27" ht="19.5" customHeight="1" x14ac:dyDescent="0.3">
      <c r="A60" s="52">
        <v>5</v>
      </c>
      <c r="B60" s="52">
        <v>1</v>
      </c>
      <c r="C60" s="53" t="s">
        <v>36</v>
      </c>
      <c r="D60" s="53" t="s">
        <v>36</v>
      </c>
      <c r="E60" s="53" t="s">
        <v>72</v>
      </c>
      <c r="F60" s="53" t="s">
        <v>63</v>
      </c>
      <c r="G60" s="54" t="s">
        <v>115</v>
      </c>
      <c r="H60" s="14"/>
      <c r="I60" s="44">
        <v>40700000</v>
      </c>
      <c r="J60" s="56">
        <v>0</v>
      </c>
      <c r="K60" s="56">
        <v>0</v>
      </c>
      <c r="L60" s="46">
        <f t="shared" ref="L60:L61" si="36">+J60+K60</f>
        <v>0</v>
      </c>
      <c r="M60" s="57"/>
      <c r="N60" s="57"/>
      <c r="O60" s="48">
        <f t="shared" ref="O60:O61" si="37">+M60+N60</f>
        <v>0</v>
      </c>
      <c r="P60" s="60">
        <v>0</v>
      </c>
      <c r="Q60" s="60">
        <v>0</v>
      </c>
      <c r="R60" s="46">
        <f>+P60+Q60</f>
        <v>0</v>
      </c>
      <c r="S60" s="48">
        <f>+L60+O60+R60</f>
        <v>0</v>
      </c>
      <c r="T60" s="49">
        <f>+I60-S60</f>
        <v>40700000</v>
      </c>
      <c r="U60" s="50"/>
      <c r="V60" s="50"/>
      <c r="W60" s="36">
        <f t="shared" si="29"/>
        <v>0</v>
      </c>
      <c r="Y60" s="38">
        <f t="shared" si="21"/>
        <v>0</v>
      </c>
    </row>
    <row r="61" spans="1:27" ht="19.5" customHeight="1" x14ac:dyDescent="0.3">
      <c r="A61" s="52">
        <v>5</v>
      </c>
      <c r="B61" s="52">
        <v>1</v>
      </c>
      <c r="C61" s="53" t="s">
        <v>36</v>
      </c>
      <c r="D61" s="53" t="s">
        <v>75</v>
      </c>
      <c r="E61" s="53" t="s">
        <v>75</v>
      </c>
      <c r="F61" s="53" t="s">
        <v>63</v>
      </c>
      <c r="G61" s="58" t="s">
        <v>116</v>
      </c>
      <c r="H61" s="14"/>
      <c r="I61" s="55">
        <v>252748800</v>
      </c>
      <c r="J61" s="56">
        <v>0</v>
      </c>
      <c r="K61" s="56">
        <v>0</v>
      </c>
      <c r="L61" s="46">
        <f t="shared" si="36"/>
        <v>0</v>
      </c>
      <c r="M61" s="47">
        <v>0</v>
      </c>
      <c r="N61" s="47">
        <v>0</v>
      </c>
      <c r="O61" s="48">
        <f t="shared" si="37"/>
        <v>0</v>
      </c>
      <c r="P61" s="60">
        <v>0</v>
      </c>
      <c r="Q61" s="60">
        <v>0</v>
      </c>
      <c r="R61" s="46">
        <f>+P61+Q61</f>
        <v>0</v>
      </c>
      <c r="S61" s="48">
        <f>+L61+O61+R61</f>
        <v>0</v>
      </c>
      <c r="T61" s="49">
        <f>+I61-S61</f>
        <v>252748800</v>
      </c>
      <c r="U61" s="50"/>
      <c r="V61" s="50"/>
      <c r="W61" s="36">
        <f t="shared" si="29"/>
        <v>0</v>
      </c>
      <c r="Y61" s="38">
        <f t="shared" si="21"/>
        <v>0</v>
      </c>
    </row>
    <row r="62" spans="1:27" ht="52.5" hidden="1" customHeight="1" x14ac:dyDescent="0.3">
      <c r="A62" s="31" t="s">
        <v>117</v>
      </c>
      <c r="B62" s="14"/>
      <c r="C62" s="14"/>
      <c r="D62" s="14"/>
      <c r="E62" s="14"/>
      <c r="F62" s="15"/>
      <c r="G62" s="32" t="s">
        <v>118</v>
      </c>
      <c r="H62" s="14"/>
      <c r="I62" s="33">
        <f>I63+I64+I65+I67+I66</f>
        <v>0</v>
      </c>
      <c r="J62" s="33">
        <f t="shared" ref="J62:T62" si="38">J63+J64+J65+J67+J66</f>
        <v>0</v>
      </c>
      <c r="K62" s="33">
        <f t="shared" si="38"/>
        <v>0</v>
      </c>
      <c r="L62" s="33">
        <f t="shared" si="38"/>
        <v>0</v>
      </c>
      <c r="M62" s="33">
        <f t="shared" si="38"/>
        <v>0</v>
      </c>
      <c r="N62" s="33">
        <f t="shared" si="38"/>
        <v>0</v>
      </c>
      <c r="O62" s="33">
        <f t="shared" si="38"/>
        <v>0</v>
      </c>
      <c r="P62" s="33">
        <f t="shared" si="38"/>
        <v>0</v>
      </c>
      <c r="Q62" s="33">
        <f t="shared" si="38"/>
        <v>0</v>
      </c>
      <c r="R62" s="33">
        <f t="shared" si="38"/>
        <v>0</v>
      </c>
      <c r="S62" s="33">
        <f t="shared" si="38"/>
        <v>0</v>
      </c>
      <c r="T62" s="33">
        <f t="shared" si="38"/>
        <v>0</v>
      </c>
      <c r="U62" s="34" t="e">
        <f>S62/I62*100</f>
        <v>#DIV/0!</v>
      </c>
      <c r="V62" s="35"/>
      <c r="W62" s="36" t="e">
        <f t="shared" si="29"/>
        <v>#DIV/0!</v>
      </c>
      <c r="X62" s="37"/>
      <c r="Y62" s="38">
        <f t="shared" si="21"/>
        <v>0</v>
      </c>
      <c r="Z62" s="37"/>
      <c r="AA62" s="37"/>
    </row>
    <row r="63" spans="1:27" ht="19.5" hidden="1" customHeight="1" x14ac:dyDescent="0.3">
      <c r="A63" s="52">
        <v>5</v>
      </c>
      <c r="B63" s="52">
        <v>1</v>
      </c>
      <c r="C63" s="53" t="s">
        <v>36</v>
      </c>
      <c r="D63" s="53" t="s">
        <v>37</v>
      </c>
      <c r="E63" s="53" t="s">
        <v>37</v>
      </c>
      <c r="F63" s="53" t="s">
        <v>68</v>
      </c>
      <c r="G63" s="58" t="s">
        <v>102</v>
      </c>
      <c r="H63" s="14"/>
      <c r="I63" s="44">
        <v>0</v>
      </c>
      <c r="J63" s="56">
        <v>0</v>
      </c>
      <c r="K63" s="56">
        <v>0</v>
      </c>
      <c r="L63" s="46">
        <f t="shared" ref="L63:L67" si="39">+J63+K63</f>
        <v>0</v>
      </c>
      <c r="M63" s="57"/>
      <c r="N63" s="56"/>
      <c r="O63" s="46">
        <f t="shared" ref="O63:O67" si="40">+M63+N63</f>
        <v>0</v>
      </c>
      <c r="P63" s="47"/>
      <c r="Q63" s="47"/>
      <c r="R63" s="48">
        <f>+P63+Q63</f>
        <v>0</v>
      </c>
      <c r="S63" s="48">
        <f>+L63+O63+R63</f>
        <v>0</v>
      </c>
      <c r="T63" s="49">
        <f>+I63-S63</f>
        <v>0</v>
      </c>
      <c r="U63" s="50"/>
      <c r="V63" s="50"/>
      <c r="W63" s="36" t="e">
        <f t="shared" si="29"/>
        <v>#DIV/0!</v>
      </c>
      <c r="Y63" s="38">
        <f t="shared" si="21"/>
        <v>0</v>
      </c>
    </row>
    <row r="64" spans="1:27" ht="19.5" hidden="1" customHeight="1" x14ac:dyDescent="0.3">
      <c r="A64" s="52">
        <v>5</v>
      </c>
      <c r="B64" s="52">
        <v>1</v>
      </c>
      <c r="C64" s="53" t="s">
        <v>36</v>
      </c>
      <c r="D64" s="53" t="s">
        <v>37</v>
      </c>
      <c r="E64" s="53" t="s">
        <v>37</v>
      </c>
      <c r="F64" s="53" t="s">
        <v>54</v>
      </c>
      <c r="G64" s="58" t="s">
        <v>55</v>
      </c>
      <c r="H64" s="14"/>
      <c r="I64" s="55">
        <v>0</v>
      </c>
      <c r="J64" s="56">
        <v>0</v>
      </c>
      <c r="K64" s="56">
        <v>0</v>
      </c>
      <c r="L64" s="46">
        <f t="shared" si="39"/>
        <v>0</v>
      </c>
      <c r="M64" s="57"/>
      <c r="N64" s="56"/>
      <c r="O64" s="46">
        <f t="shared" si="40"/>
        <v>0</v>
      </c>
      <c r="P64" s="47">
        <v>0</v>
      </c>
      <c r="Q64" s="47"/>
      <c r="R64" s="48">
        <f>+P64+Q64</f>
        <v>0</v>
      </c>
      <c r="S64" s="48">
        <f>+L64+O64+R64</f>
        <v>0</v>
      </c>
      <c r="T64" s="49">
        <f>+I64-S64</f>
        <v>0</v>
      </c>
      <c r="U64" s="50"/>
      <c r="V64" s="50"/>
      <c r="W64" s="36" t="e">
        <f t="shared" si="29"/>
        <v>#DIV/0!</v>
      </c>
      <c r="Y64" s="38">
        <f t="shared" si="21"/>
        <v>0</v>
      </c>
    </row>
    <row r="65" spans="1:30" ht="19.5" hidden="1" customHeight="1" x14ac:dyDescent="0.3">
      <c r="A65" s="52">
        <v>5</v>
      </c>
      <c r="B65" s="52">
        <v>1</v>
      </c>
      <c r="C65" s="53" t="s">
        <v>36</v>
      </c>
      <c r="D65" s="53" t="s">
        <v>37</v>
      </c>
      <c r="E65" s="53" t="s">
        <v>37</v>
      </c>
      <c r="F65" s="53" t="s">
        <v>60</v>
      </c>
      <c r="G65" s="58" t="s">
        <v>119</v>
      </c>
      <c r="H65" s="14"/>
      <c r="I65" s="55">
        <v>0</v>
      </c>
      <c r="J65" s="56">
        <v>0</v>
      </c>
      <c r="K65" s="56">
        <v>0</v>
      </c>
      <c r="L65" s="46">
        <f t="shared" si="39"/>
        <v>0</v>
      </c>
      <c r="M65" s="57"/>
      <c r="N65" s="56"/>
      <c r="O65" s="46">
        <f t="shared" si="40"/>
        <v>0</v>
      </c>
      <c r="P65" s="47">
        <v>0</v>
      </c>
      <c r="Q65" s="47"/>
      <c r="R65" s="48">
        <f>+P65+Q65</f>
        <v>0</v>
      </c>
      <c r="S65" s="48">
        <f>+L65+O65+R65</f>
        <v>0</v>
      </c>
      <c r="T65" s="49">
        <f>+I65-S65</f>
        <v>0</v>
      </c>
      <c r="U65" s="50">
        <f>T65/20000</f>
        <v>0</v>
      </c>
      <c r="V65" s="50"/>
      <c r="W65" s="36" t="e">
        <f t="shared" si="29"/>
        <v>#DIV/0!</v>
      </c>
      <c r="Y65" s="38">
        <f t="shared" si="21"/>
        <v>0</v>
      </c>
    </row>
    <row r="66" spans="1:30" ht="19.5" hidden="1" customHeight="1" x14ac:dyDescent="0.3">
      <c r="A66" s="52">
        <v>5</v>
      </c>
      <c r="B66" s="52">
        <v>1</v>
      </c>
      <c r="C66" s="53" t="s">
        <v>36</v>
      </c>
      <c r="D66" s="53" t="s">
        <v>36</v>
      </c>
      <c r="E66" s="53" t="s">
        <v>37</v>
      </c>
      <c r="F66" s="53" t="s">
        <v>120</v>
      </c>
      <c r="G66" s="58" t="s">
        <v>121</v>
      </c>
      <c r="H66" s="14"/>
      <c r="I66" s="55">
        <v>0</v>
      </c>
      <c r="J66" s="56">
        <v>0</v>
      </c>
      <c r="K66" s="56">
        <v>0</v>
      </c>
      <c r="L66" s="46">
        <f t="shared" si="39"/>
        <v>0</v>
      </c>
      <c r="M66" s="57"/>
      <c r="N66" s="56"/>
      <c r="O66" s="46">
        <f t="shared" si="40"/>
        <v>0</v>
      </c>
      <c r="P66" s="47">
        <v>0</v>
      </c>
      <c r="Q66" s="47"/>
      <c r="R66" s="48">
        <f>+P66+Q66</f>
        <v>0</v>
      </c>
      <c r="S66" s="48">
        <f>+L66+O66+R66</f>
        <v>0</v>
      </c>
      <c r="T66" s="49">
        <f>+I66-S66</f>
        <v>0</v>
      </c>
      <c r="U66" s="50">
        <v>2500000</v>
      </c>
      <c r="V66" s="50"/>
      <c r="W66" s="36" t="e">
        <f t="shared" si="29"/>
        <v>#DIV/0!</v>
      </c>
      <c r="Y66" s="38">
        <f t="shared" si="21"/>
        <v>0</v>
      </c>
    </row>
    <row r="67" spans="1:30" ht="19.5" hidden="1" customHeight="1" x14ac:dyDescent="0.3">
      <c r="A67" s="52">
        <v>5</v>
      </c>
      <c r="B67" s="52">
        <v>1</v>
      </c>
      <c r="C67" s="53" t="s">
        <v>36</v>
      </c>
      <c r="D67" s="53" t="s">
        <v>36</v>
      </c>
      <c r="E67" s="53" t="s">
        <v>37</v>
      </c>
      <c r="F67" s="53" t="s">
        <v>122</v>
      </c>
      <c r="G67" s="58" t="s">
        <v>123</v>
      </c>
      <c r="H67" s="14"/>
      <c r="I67" s="55">
        <v>0</v>
      </c>
      <c r="J67" s="56">
        <v>0</v>
      </c>
      <c r="K67" s="56">
        <v>0</v>
      </c>
      <c r="L67" s="46">
        <f t="shared" si="39"/>
        <v>0</v>
      </c>
      <c r="M67" s="57"/>
      <c r="N67" s="56"/>
      <c r="O67" s="46">
        <f t="shared" si="40"/>
        <v>0</v>
      </c>
      <c r="P67" s="47">
        <v>0</v>
      </c>
      <c r="Q67" s="47"/>
      <c r="R67" s="48">
        <f>+P67+Q67</f>
        <v>0</v>
      </c>
      <c r="S67" s="48">
        <f>+L67+O67+R67</f>
        <v>0</v>
      </c>
      <c r="T67" s="49">
        <f>+I67-S67</f>
        <v>0</v>
      </c>
      <c r="U67" s="50">
        <v>2500000</v>
      </c>
      <c r="V67" s="50"/>
      <c r="W67" s="36" t="e">
        <f t="shared" si="29"/>
        <v>#DIV/0!</v>
      </c>
      <c r="Y67" s="38">
        <f t="shared" si="21"/>
        <v>0</v>
      </c>
    </row>
    <row r="68" spans="1:30" ht="52.5" customHeight="1" x14ac:dyDescent="0.3">
      <c r="A68" s="31" t="s">
        <v>124</v>
      </c>
      <c r="B68" s="14"/>
      <c r="C68" s="14"/>
      <c r="D68" s="14"/>
      <c r="E68" s="14"/>
      <c r="F68" s="15"/>
      <c r="G68" s="32" t="s">
        <v>125</v>
      </c>
      <c r="H68" s="14"/>
      <c r="I68" s="33">
        <f>I69+I70+I71</f>
        <v>174501824</v>
      </c>
      <c r="J68" s="33">
        <f t="shared" ref="J68:T68" si="41">J69+J70+J71</f>
        <v>0</v>
      </c>
      <c r="K68" s="33">
        <f t="shared" si="41"/>
        <v>0</v>
      </c>
      <c r="L68" s="33">
        <f t="shared" si="41"/>
        <v>0</v>
      </c>
      <c r="M68" s="33">
        <f t="shared" si="41"/>
        <v>0</v>
      </c>
      <c r="N68" s="33">
        <f t="shared" si="41"/>
        <v>0</v>
      </c>
      <c r="O68" s="33">
        <f t="shared" si="41"/>
        <v>0</v>
      </c>
      <c r="P68" s="33">
        <f t="shared" si="41"/>
        <v>8816000</v>
      </c>
      <c r="Q68" s="33">
        <f t="shared" si="41"/>
        <v>0</v>
      </c>
      <c r="R68" s="33">
        <f t="shared" si="41"/>
        <v>8816000</v>
      </c>
      <c r="S68" s="33">
        <f t="shared" si="41"/>
        <v>8816000</v>
      </c>
      <c r="T68" s="33">
        <f t="shared" si="41"/>
        <v>165685824</v>
      </c>
      <c r="U68" s="34">
        <f>S68/I68*100</f>
        <v>5.0520961889773712</v>
      </c>
      <c r="V68" s="35"/>
      <c r="W68" s="36">
        <f t="shared" si="29"/>
        <v>5.0520961889773712</v>
      </c>
      <c r="X68" s="37"/>
      <c r="Y68" s="38">
        <f t="shared" si="21"/>
        <v>8816000</v>
      </c>
      <c r="Z68" s="38">
        <v>95462000</v>
      </c>
      <c r="AA68" s="37">
        <v>92962000</v>
      </c>
    </row>
    <row r="69" spans="1:30" ht="27.75" customHeight="1" x14ac:dyDescent="0.3">
      <c r="A69" s="52">
        <v>5</v>
      </c>
      <c r="B69" s="52">
        <v>1</v>
      </c>
      <c r="C69" s="53" t="s">
        <v>36</v>
      </c>
      <c r="D69" s="53" t="s">
        <v>37</v>
      </c>
      <c r="E69" s="53" t="s">
        <v>37</v>
      </c>
      <c r="F69" s="53" t="s">
        <v>48</v>
      </c>
      <c r="G69" s="54" t="s">
        <v>49</v>
      </c>
      <c r="H69" s="14"/>
      <c r="I69" s="55">
        <v>25000000</v>
      </c>
      <c r="J69" s="56"/>
      <c r="K69" s="56"/>
      <c r="L69" s="46"/>
      <c r="M69" s="57"/>
      <c r="N69" s="56"/>
      <c r="O69" s="46"/>
      <c r="P69" s="47">
        <v>0</v>
      </c>
      <c r="Q69" s="47"/>
      <c r="R69" s="48">
        <f>+P69+Q69</f>
        <v>0</v>
      </c>
      <c r="S69" s="48">
        <f>+L69+O69+R69</f>
        <v>0</v>
      </c>
      <c r="T69" s="49">
        <f>+I69-S69</f>
        <v>25000000</v>
      </c>
      <c r="U69" s="50"/>
      <c r="V69" s="50"/>
      <c r="W69" s="36">
        <f t="shared" si="29"/>
        <v>0</v>
      </c>
      <c r="Y69" s="38">
        <f t="shared" si="21"/>
        <v>0</v>
      </c>
      <c r="AD69">
        <f>19928000/8000</f>
        <v>2491</v>
      </c>
    </row>
    <row r="70" spans="1:30" ht="27.75" customHeight="1" x14ac:dyDescent="0.3">
      <c r="A70" s="52">
        <v>5</v>
      </c>
      <c r="B70" s="52">
        <v>1</v>
      </c>
      <c r="C70" s="53" t="s">
        <v>36</v>
      </c>
      <c r="D70" s="53" t="s">
        <v>36</v>
      </c>
      <c r="E70" s="53" t="s">
        <v>37</v>
      </c>
      <c r="F70" s="53" t="s">
        <v>68</v>
      </c>
      <c r="G70" s="54" t="s">
        <v>126</v>
      </c>
      <c r="H70" s="14"/>
      <c r="I70" s="55">
        <v>134548000</v>
      </c>
      <c r="J70" s="56"/>
      <c r="K70" s="56"/>
      <c r="L70" s="46"/>
      <c r="M70" s="57"/>
      <c r="N70" s="56"/>
      <c r="O70" s="46"/>
      <c r="P70" s="47">
        <v>8816000</v>
      </c>
      <c r="Q70" s="47"/>
      <c r="R70" s="48">
        <f>+P70+Q70</f>
        <v>8816000</v>
      </c>
      <c r="S70" s="48">
        <f>+L70+O70+R70</f>
        <v>8816000</v>
      </c>
      <c r="T70" s="49">
        <f>+I70-S70</f>
        <v>125732000</v>
      </c>
      <c r="U70" s="50"/>
      <c r="V70" s="50"/>
      <c r="W70" s="36">
        <f t="shared" si="29"/>
        <v>6.55230846983976</v>
      </c>
      <c r="Y70" s="38">
        <f t="shared" si="21"/>
        <v>8816000</v>
      </c>
      <c r="AD70">
        <f>19928000/8000</f>
        <v>2491</v>
      </c>
    </row>
    <row r="71" spans="1:30" ht="27.75" customHeight="1" x14ac:dyDescent="0.3">
      <c r="A71" s="52">
        <v>5</v>
      </c>
      <c r="B71" s="52">
        <v>1</v>
      </c>
      <c r="C71" s="53" t="s">
        <v>36</v>
      </c>
      <c r="D71" s="53" t="s">
        <v>36</v>
      </c>
      <c r="E71" s="53" t="s">
        <v>37</v>
      </c>
      <c r="F71" s="53" t="s">
        <v>91</v>
      </c>
      <c r="G71" s="54" t="s">
        <v>92</v>
      </c>
      <c r="H71" s="14"/>
      <c r="I71" s="44">
        <v>14953824</v>
      </c>
      <c r="J71" s="56"/>
      <c r="K71" s="56"/>
      <c r="L71" s="46"/>
      <c r="M71" s="57"/>
      <c r="N71" s="56"/>
      <c r="O71" s="46"/>
      <c r="P71" s="47"/>
      <c r="Q71" s="47"/>
      <c r="R71" s="48">
        <f>+P71+Q71</f>
        <v>0</v>
      </c>
      <c r="S71" s="48">
        <f>+L71+O71+R71</f>
        <v>0</v>
      </c>
      <c r="T71" s="49">
        <f>+I71-S71</f>
        <v>14953824</v>
      </c>
      <c r="U71" s="50"/>
      <c r="V71" s="50"/>
      <c r="W71" s="36">
        <f t="shared" si="29"/>
        <v>0</v>
      </c>
      <c r="Y71" s="38">
        <f t="shared" si="21"/>
        <v>0</v>
      </c>
    </row>
    <row r="72" spans="1:30" ht="52.5" customHeight="1" x14ac:dyDescent="0.3">
      <c r="A72" s="31" t="s">
        <v>127</v>
      </c>
      <c r="B72" s="14"/>
      <c r="C72" s="14"/>
      <c r="D72" s="14"/>
      <c r="E72" s="14"/>
      <c r="F72" s="15"/>
      <c r="G72" s="32" t="s">
        <v>128</v>
      </c>
      <c r="H72" s="14"/>
      <c r="I72" s="33">
        <f>I73+I74+I75+I76</f>
        <v>187397520</v>
      </c>
      <c r="J72" s="33">
        <f t="shared" ref="J72:T72" si="42">J73+J74+J75+J76</f>
        <v>0</v>
      </c>
      <c r="K72" s="33">
        <f t="shared" si="42"/>
        <v>0</v>
      </c>
      <c r="L72" s="33">
        <f t="shared" si="42"/>
        <v>0</v>
      </c>
      <c r="M72" s="33">
        <f t="shared" si="42"/>
        <v>0</v>
      </c>
      <c r="N72" s="33">
        <f t="shared" si="42"/>
        <v>0</v>
      </c>
      <c r="O72" s="33">
        <f t="shared" si="42"/>
        <v>0</v>
      </c>
      <c r="P72" s="33">
        <f t="shared" si="42"/>
        <v>34700000</v>
      </c>
      <c r="Q72" s="33">
        <f t="shared" si="42"/>
        <v>17239000</v>
      </c>
      <c r="R72" s="33">
        <f t="shared" si="42"/>
        <v>51939000</v>
      </c>
      <c r="S72" s="33">
        <f t="shared" si="42"/>
        <v>51939000</v>
      </c>
      <c r="T72" s="33">
        <f t="shared" si="42"/>
        <v>135458520</v>
      </c>
      <c r="U72" s="34">
        <f>S72/I72*100</f>
        <v>27.715948428773231</v>
      </c>
      <c r="V72" s="35">
        <v>182968000</v>
      </c>
      <c r="W72" s="36">
        <f t="shared" si="29"/>
        <v>27.715948428773231</v>
      </c>
      <c r="X72" s="37"/>
      <c r="Y72" s="38">
        <f t="shared" si="21"/>
        <v>51939000</v>
      </c>
      <c r="Z72" s="37"/>
      <c r="AA72" s="37"/>
    </row>
    <row r="73" spans="1:30" ht="29.25" customHeight="1" x14ac:dyDescent="0.3">
      <c r="A73" s="52">
        <v>5</v>
      </c>
      <c r="B73" s="52">
        <v>1</v>
      </c>
      <c r="C73" s="53" t="s">
        <v>36</v>
      </c>
      <c r="D73" s="53" t="s">
        <v>37</v>
      </c>
      <c r="E73" s="53" t="s">
        <v>37</v>
      </c>
      <c r="F73" s="53" t="s">
        <v>68</v>
      </c>
      <c r="G73" s="54" t="s">
        <v>102</v>
      </c>
      <c r="H73" s="14"/>
      <c r="I73" s="55">
        <v>99120000</v>
      </c>
      <c r="J73" s="45"/>
      <c r="K73" s="45"/>
      <c r="L73" s="46"/>
      <c r="M73" s="47"/>
      <c r="N73" s="45"/>
      <c r="O73" s="46"/>
      <c r="P73" s="47">
        <v>20100000</v>
      </c>
      <c r="Q73" s="47">
        <v>17239000</v>
      </c>
      <c r="R73" s="48">
        <f t="shared" ref="R73:R76" si="43">+P73+Q73</f>
        <v>37339000</v>
      </c>
      <c r="S73" s="48">
        <f>+L73+O73+R73</f>
        <v>37339000</v>
      </c>
      <c r="T73" s="49">
        <f>+I73-S73</f>
        <v>61781000</v>
      </c>
      <c r="U73" s="50"/>
      <c r="V73" s="50"/>
      <c r="W73" s="36">
        <f>S73/I73*100</f>
        <v>37.670500403551252</v>
      </c>
      <c r="Y73" s="38">
        <f>+P73+Q73</f>
        <v>37339000</v>
      </c>
    </row>
    <row r="74" spans="1:30" ht="19.5" customHeight="1" x14ac:dyDescent="0.3">
      <c r="A74" s="52">
        <v>5</v>
      </c>
      <c r="B74" s="52">
        <v>1</v>
      </c>
      <c r="C74" s="53" t="s">
        <v>36</v>
      </c>
      <c r="D74" s="53" t="s">
        <v>37</v>
      </c>
      <c r="E74" s="53" t="s">
        <v>37</v>
      </c>
      <c r="F74" s="53" t="s">
        <v>60</v>
      </c>
      <c r="G74" s="54" t="s">
        <v>61</v>
      </c>
      <c r="H74" s="14"/>
      <c r="I74" s="55">
        <v>22950000</v>
      </c>
      <c r="J74" s="56">
        <v>0</v>
      </c>
      <c r="K74" s="56">
        <v>0</v>
      </c>
      <c r="L74" s="46">
        <f t="shared" ref="L74:L76" si="44">+J74+K74</f>
        <v>0</v>
      </c>
      <c r="M74" s="57">
        <v>0</v>
      </c>
      <c r="N74" s="56">
        <v>0</v>
      </c>
      <c r="O74" s="46">
        <f t="shared" ref="O74:O76" si="45">+M74+N74</f>
        <v>0</v>
      </c>
      <c r="P74" s="47">
        <v>5400000</v>
      </c>
      <c r="Q74" s="48"/>
      <c r="R74" s="48">
        <f t="shared" si="43"/>
        <v>5400000</v>
      </c>
      <c r="S74" s="48">
        <f>+L74+O74+R74</f>
        <v>5400000</v>
      </c>
      <c r="T74" s="49">
        <f>+I74-S74</f>
        <v>17550000</v>
      </c>
      <c r="U74" s="50">
        <f>T70/8000</f>
        <v>15716.5</v>
      </c>
      <c r="V74" s="50"/>
      <c r="W74" s="36">
        <f t="shared" si="29"/>
        <v>23.52941176470588</v>
      </c>
      <c r="Y74" s="38">
        <f t="shared" si="21"/>
        <v>5400000</v>
      </c>
    </row>
    <row r="75" spans="1:30" ht="29.25" customHeight="1" x14ac:dyDescent="0.3">
      <c r="A75" s="52">
        <v>5</v>
      </c>
      <c r="B75" s="52">
        <v>1</v>
      </c>
      <c r="C75" s="53" t="s">
        <v>36</v>
      </c>
      <c r="D75" s="53" t="s">
        <v>36</v>
      </c>
      <c r="E75" s="53" t="s">
        <v>37</v>
      </c>
      <c r="F75" s="53" t="s">
        <v>68</v>
      </c>
      <c r="G75" s="54" t="s">
        <v>129</v>
      </c>
      <c r="H75" s="14"/>
      <c r="I75" s="55">
        <v>55200000</v>
      </c>
      <c r="J75" s="45">
        <v>0</v>
      </c>
      <c r="K75" s="45">
        <v>0</v>
      </c>
      <c r="L75" s="46">
        <f t="shared" si="44"/>
        <v>0</v>
      </c>
      <c r="M75" s="47">
        <v>0</v>
      </c>
      <c r="N75" s="45">
        <v>0</v>
      </c>
      <c r="O75" s="46">
        <f t="shared" si="45"/>
        <v>0</v>
      </c>
      <c r="P75" s="47">
        <v>9200000</v>
      </c>
      <c r="Q75" s="47"/>
      <c r="R75" s="48">
        <f t="shared" si="43"/>
        <v>9200000</v>
      </c>
      <c r="S75" s="48">
        <f>+L75+O75+R75</f>
        <v>9200000</v>
      </c>
      <c r="T75" s="49">
        <f>+I75-S75</f>
        <v>46000000</v>
      </c>
      <c r="U75" s="50">
        <v>713600000</v>
      </c>
      <c r="V75" s="50"/>
      <c r="W75" s="36">
        <f t="shared" si="29"/>
        <v>16.666666666666664</v>
      </c>
      <c r="Y75" s="38">
        <f t="shared" si="21"/>
        <v>9200000</v>
      </c>
    </row>
    <row r="76" spans="1:30" ht="29.25" customHeight="1" x14ac:dyDescent="0.3">
      <c r="A76" s="52">
        <v>5</v>
      </c>
      <c r="B76" s="52">
        <v>1</v>
      </c>
      <c r="C76" s="53" t="s">
        <v>36</v>
      </c>
      <c r="D76" s="53" t="s">
        <v>36</v>
      </c>
      <c r="E76" s="53" t="s">
        <v>62</v>
      </c>
      <c r="F76" s="53" t="s">
        <v>46</v>
      </c>
      <c r="G76" s="54" t="s">
        <v>130</v>
      </c>
      <c r="H76" s="14"/>
      <c r="I76" s="55">
        <v>10127520</v>
      </c>
      <c r="J76" s="45">
        <v>0</v>
      </c>
      <c r="K76" s="45">
        <v>0</v>
      </c>
      <c r="L76" s="46">
        <f t="shared" si="44"/>
        <v>0</v>
      </c>
      <c r="M76" s="47">
        <v>0</v>
      </c>
      <c r="N76" s="45">
        <v>0</v>
      </c>
      <c r="O76" s="46">
        <f t="shared" si="45"/>
        <v>0</v>
      </c>
      <c r="P76" s="47">
        <v>0</v>
      </c>
      <c r="Q76" s="47"/>
      <c r="R76" s="48">
        <f t="shared" si="43"/>
        <v>0</v>
      </c>
      <c r="S76" s="48">
        <f>+L76+O76+R76</f>
        <v>0</v>
      </c>
      <c r="T76" s="49">
        <f>+I76-S76</f>
        <v>10127520</v>
      </c>
      <c r="U76" s="50">
        <v>713600000</v>
      </c>
      <c r="V76" s="50"/>
      <c r="W76" s="36">
        <f t="shared" si="29"/>
        <v>0</v>
      </c>
      <c r="Y76" s="38">
        <f t="shared" si="21"/>
        <v>0</v>
      </c>
    </row>
    <row r="77" spans="1:30" ht="12.75" customHeight="1" thickBot="1" x14ac:dyDescent="0.3">
      <c r="A77" s="61"/>
      <c r="B77" s="62"/>
      <c r="C77" s="62"/>
      <c r="D77" s="62"/>
      <c r="E77" s="62"/>
      <c r="F77" s="63"/>
      <c r="G77" s="64"/>
      <c r="H77" s="65"/>
      <c r="I77" s="66"/>
      <c r="J77" s="67"/>
      <c r="K77" s="67"/>
      <c r="L77" s="67"/>
      <c r="M77" s="68"/>
      <c r="N77" s="67"/>
      <c r="O77" s="68"/>
      <c r="P77" s="68"/>
      <c r="Q77" s="68"/>
      <c r="R77" s="68"/>
      <c r="S77" s="68"/>
      <c r="T77" s="66"/>
      <c r="U77" s="69"/>
      <c r="V77" s="69"/>
    </row>
    <row r="78" spans="1:30" ht="12.75" customHeight="1" x14ac:dyDescent="0.25">
      <c r="A78" s="70" t="s">
        <v>16</v>
      </c>
      <c r="B78" s="71"/>
      <c r="C78" s="71"/>
      <c r="D78" s="71"/>
      <c r="E78" s="71"/>
      <c r="F78" s="71"/>
      <c r="G78" s="72"/>
      <c r="H78" s="73"/>
      <c r="I78" s="74">
        <f t="shared" ref="I78:T78" si="46">I17+I19+I25+I28+I32+I40+I44+I51+I55+I59+I62+I68+I72+I38+I34</f>
        <v>2704866443.0999999</v>
      </c>
      <c r="J78" s="74">
        <f t="shared" si="46"/>
        <v>0</v>
      </c>
      <c r="K78" s="74">
        <f t="shared" si="46"/>
        <v>0</v>
      </c>
      <c r="L78" s="74">
        <f t="shared" si="46"/>
        <v>0</v>
      </c>
      <c r="M78" s="74">
        <f t="shared" si="46"/>
        <v>364681500</v>
      </c>
      <c r="N78" s="74">
        <f t="shared" si="46"/>
        <v>100205300</v>
      </c>
      <c r="O78" s="74">
        <f t="shared" si="46"/>
        <v>464886800</v>
      </c>
      <c r="P78" s="74">
        <f t="shared" si="46"/>
        <v>84951274</v>
      </c>
      <c r="Q78" s="74">
        <f t="shared" si="46"/>
        <v>93513924</v>
      </c>
      <c r="R78" s="74">
        <f t="shared" si="46"/>
        <v>178465198</v>
      </c>
      <c r="S78" s="74">
        <f t="shared" si="46"/>
        <v>643351998</v>
      </c>
      <c r="T78" s="74">
        <f t="shared" si="46"/>
        <v>2061514445.0999999</v>
      </c>
      <c r="U78" s="34">
        <f>T78+S78</f>
        <v>2704866443.0999999</v>
      </c>
      <c r="V78" s="75">
        <f>S78/I78*100</f>
        <v>23.784982051190134</v>
      </c>
      <c r="W78" s="76">
        <f>S78/I78*100</f>
        <v>23.784982051190134</v>
      </c>
      <c r="X78" s="77" t="e">
        <f>S78/W80*100</f>
        <v>#DIV/0!</v>
      </c>
    </row>
    <row r="79" spans="1:30" ht="12.75" customHeight="1" x14ac:dyDescent="0.3">
      <c r="A79" s="78"/>
      <c r="B79" s="79"/>
      <c r="C79" s="79"/>
      <c r="D79" s="79"/>
      <c r="E79" s="79"/>
      <c r="F79" s="79"/>
      <c r="G79" s="80" t="s">
        <v>131</v>
      </c>
      <c r="H79" s="81"/>
      <c r="I79" s="81"/>
      <c r="J79" s="82"/>
      <c r="K79" s="82"/>
      <c r="L79" s="82"/>
      <c r="M79" s="83"/>
      <c r="N79" s="83"/>
      <c r="O79" s="83"/>
      <c r="P79" s="83"/>
      <c r="Q79" s="83"/>
      <c r="R79" s="83"/>
      <c r="S79" s="83"/>
      <c r="T79" s="84"/>
      <c r="U79" s="85"/>
      <c r="V79" s="85"/>
      <c r="W79" s="36">
        <f>P78+M78</f>
        <v>449632774</v>
      </c>
      <c r="AA79" s="77">
        <f>+N78+Q78</f>
        <v>193719224</v>
      </c>
    </row>
    <row r="80" spans="1:30" ht="12.75" customHeight="1" x14ac:dyDescent="0.25">
      <c r="A80" s="86"/>
      <c r="B80" s="87"/>
      <c r="C80" s="87"/>
      <c r="D80" s="87"/>
      <c r="E80" s="87"/>
      <c r="F80" s="87"/>
      <c r="G80" s="88" t="s">
        <v>132</v>
      </c>
      <c r="H80" s="89"/>
      <c r="I80" s="90"/>
      <c r="J80" s="91">
        <v>0</v>
      </c>
      <c r="K80" s="91">
        <v>0</v>
      </c>
      <c r="L80" s="91">
        <f t="shared" ref="L80:L85" si="47">+J80+K80</f>
        <v>0</v>
      </c>
      <c r="M80" s="92">
        <f>SUM(M81:M85)</f>
        <v>364681500</v>
      </c>
      <c r="N80" s="92">
        <f t="shared" ref="N80:S80" si="48">SUM(N81:N85)</f>
        <v>100205300</v>
      </c>
      <c r="O80" s="92">
        <f t="shared" si="48"/>
        <v>464886800</v>
      </c>
      <c r="P80" s="92">
        <f t="shared" si="48"/>
        <v>259024795</v>
      </c>
      <c r="Q80" s="92">
        <f t="shared" si="48"/>
        <v>209164000</v>
      </c>
      <c r="R80" s="92">
        <f t="shared" si="48"/>
        <v>468188795</v>
      </c>
      <c r="S80" s="92">
        <f t="shared" si="48"/>
        <v>933075595</v>
      </c>
      <c r="T80" s="93"/>
      <c r="U80" s="94">
        <f>'[1]BUKU BANK'!D59</f>
        <v>933075595</v>
      </c>
      <c r="V80" s="94" t="b">
        <f>S80=U80</f>
        <v>1</v>
      </c>
      <c r="W80" s="77"/>
    </row>
    <row r="81" spans="1:27" ht="12.75" customHeight="1" x14ac:dyDescent="0.25">
      <c r="A81" s="86"/>
      <c r="B81" s="87"/>
      <c r="C81" s="87"/>
      <c r="D81" s="87"/>
      <c r="E81" s="87"/>
      <c r="F81" s="87"/>
      <c r="G81" s="95" t="s">
        <v>133</v>
      </c>
      <c r="H81" s="89"/>
      <c r="I81" s="90"/>
      <c r="J81" s="96">
        <v>0</v>
      </c>
      <c r="K81" s="96">
        <v>0</v>
      </c>
      <c r="L81" s="96">
        <f t="shared" si="47"/>
        <v>0</v>
      </c>
      <c r="M81" s="97">
        <v>0</v>
      </c>
      <c r="N81" s="97"/>
      <c r="O81" s="97"/>
      <c r="P81" s="97">
        <v>259024795</v>
      </c>
      <c r="Q81" s="97"/>
      <c r="R81" s="97">
        <f>+P81+Q81</f>
        <v>259024795</v>
      </c>
      <c r="S81" s="97">
        <f>+L81+O81+R81</f>
        <v>259024795</v>
      </c>
      <c r="T81" s="93"/>
      <c r="U81" s="94">
        <f>R81+R82</f>
        <v>468188795</v>
      </c>
      <c r="V81" s="94"/>
    </row>
    <row r="82" spans="1:27" ht="12.75" customHeight="1" x14ac:dyDescent="0.25">
      <c r="A82" s="86"/>
      <c r="B82" s="87"/>
      <c r="C82" s="87"/>
      <c r="D82" s="87"/>
      <c r="E82" s="87"/>
      <c r="F82" s="87"/>
      <c r="G82" s="98" t="s">
        <v>134</v>
      </c>
      <c r="H82" s="89"/>
      <c r="I82" s="90"/>
      <c r="J82" s="96">
        <v>0</v>
      </c>
      <c r="K82" s="96">
        <v>0</v>
      </c>
      <c r="L82" s="96">
        <f t="shared" si="47"/>
        <v>0</v>
      </c>
      <c r="M82" s="97">
        <v>0</v>
      </c>
      <c r="N82" s="97"/>
      <c r="O82" s="97">
        <f t="shared" ref="O82:O84" si="49">+M82+N82</f>
        <v>0</v>
      </c>
      <c r="P82" s="97">
        <v>0</v>
      </c>
      <c r="Q82" s="97">
        <v>209164000</v>
      </c>
      <c r="R82" s="97">
        <f>+P82+Q82</f>
        <v>209164000</v>
      </c>
      <c r="S82" s="97">
        <f>+L82+O82+R82</f>
        <v>209164000</v>
      </c>
      <c r="T82" s="93"/>
      <c r="U82" s="94"/>
      <c r="V82" s="94"/>
      <c r="W82" s="99" t="e">
        <f>S78+T61+T45+T46+T47+T48+T36+T33+#REF!+#REF!+#REF!+#REF!+#REF!</f>
        <v>#REF!</v>
      </c>
      <c r="X82" s="99">
        <v>339166279</v>
      </c>
      <c r="Y82" s="99" t="e">
        <f>W82+X82</f>
        <v>#REF!</v>
      </c>
      <c r="Z82" t="e">
        <f>Y82/I78*100</f>
        <v>#REF!</v>
      </c>
      <c r="AA82" s="77">
        <f>+P78-AA79</f>
        <v>-108767950</v>
      </c>
    </row>
    <row r="83" spans="1:27" ht="12.75" customHeight="1" x14ac:dyDescent="0.25">
      <c r="A83" s="86"/>
      <c r="B83" s="87"/>
      <c r="C83" s="87"/>
      <c r="D83" s="87"/>
      <c r="E83" s="87"/>
      <c r="F83" s="87"/>
      <c r="G83" s="95" t="s">
        <v>135</v>
      </c>
      <c r="H83" s="89"/>
      <c r="I83" s="90"/>
      <c r="J83" s="96">
        <v>0</v>
      </c>
      <c r="K83" s="96">
        <v>0</v>
      </c>
      <c r="L83" s="96">
        <f t="shared" si="47"/>
        <v>0</v>
      </c>
      <c r="M83" s="97">
        <v>0</v>
      </c>
      <c r="N83" s="97">
        <v>0</v>
      </c>
      <c r="O83" s="97">
        <f t="shared" si="49"/>
        <v>0</v>
      </c>
      <c r="P83" s="97"/>
      <c r="Q83" s="97"/>
      <c r="R83" s="97">
        <f>+P83+Q83</f>
        <v>0</v>
      </c>
      <c r="S83" s="97">
        <f>+L83+O83+R83</f>
        <v>0</v>
      </c>
      <c r="T83" s="93"/>
      <c r="U83" s="94"/>
      <c r="V83" s="94">
        <f>S78/I78*100</f>
        <v>23.784982051190134</v>
      </c>
      <c r="W83" s="99"/>
      <c r="X83" s="77"/>
    </row>
    <row r="84" spans="1:27" ht="12.75" customHeight="1" x14ac:dyDescent="0.25">
      <c r="A84" s="86"/>
      <c r="B84" s="87"/>
      <c r="C84" s="87"/>
      <c r="D84" s="87"/>
      <c r="E84" s="87"/>
      <c r="F84" s="87"/>
      <c r="G84" s="95" t="s">
        <v>136</v>
      </c>
      <c r="H84" s="89"/>
      <c r="I84" s="90"/>
      <c r="J84" s="96">
        <v>0</v>
      </c>
      <c r="K84" s="96">
        <v>0</v>
      </c>
      <c r="L84" s="96">
        <f t="shared" si="47"/>
        <v>0</v>
      </c>
      <c r="M84" s="97">
        <v>364681500</v>
      </c>
      <c r="N84" s="97">
        <v>100205300</v>
      </c>
      <c r="O84" s="97">
        <f t="shared" si="49"/>
        <v>464886800</v>
      </c>
      <c r="P84" s="97">
        <v>0</v>
      </c>
      <c r="Q84" s="97">
        <v>0</v>
      </c>
      <c r="R84" s="97">
        <f>+P84+Q84</f>
        <v>0</v>
      </c>
      <c r="S84" s="97">
        <f>+L84+O84+R84</f>
        <v>464886800</v>
      </c>
      <c r="T84" s="93"/>
      <c r="U84" s="94"/>
      <c r="V84" s="94"/>
      <c r="Y84" s="100">
        <f>I74+I75</f>
        <v>78150000</v>
      </c>
    </row>
    <row r="85" spans="1:27" ht="12.75" customHeight="1" x14ac:dyDescent="0.25">
      <c r="A85" s="86"/>
      <c r="B85" s="87"/>
      <c r="C85" s="87"/>
      <c r="D85" s="87"/>
      <c r="E85" s="87"/>
      <c r="F85" s="87"/>
      <c r="G85" s="95" t="s">
        <v>137</v>
      </c>
      <c r="H85" s="89"/>
      <c r="I85" s="90"/>
      <c r="J85" s="96">
        <v>0</v>
      </c>
      <c r="K85" s="96">
        <v>0</v>
      </c>
      <c r="L85" s="96">
        <f t="shared" si="47"/>
        <v>0</v>
      </c>
      <c r="M85" s="97"/>
      <c r="N85" s="97"/>
      <c r="O85" s="97"/>
      <c r="P85" s="97">
        <v>0</v>
      </c>
      <c r="Q85" s="97"/>
      <c r="R85" s="97">
        <f>+P85+Q85</f>
        <v>0</v>
      </c>
      <c r="S85" s="97">
        <f>+L85+O85+R85</f>
        <v>0</v>
      </c>
      <c r="T85" s="93"/>
      <c r="U85" s="94"/>
      <c r="V85" s="94"/>
      <c r="Y85" s="99">
        <f>P74+P75</f>
        <v>14600000</v>
      </c>
    </row>
    <row r="86" spans="1:27" s="111" customFormat="1" ht="12.75" customHeight="1" x14ac:dyDescent="0.25">
      <c r="A86" s="101"/>
      <c r="B86" s="102"/>
      <c r="C86" s="102"/>
      <c r="D86" s="102"/>
      <c r="E86" s="102"/>
      <c r="F86" s="102"/>
      <c r="G86" s="103" t="s">
        <v>138</v>
      </c>
      <c r="H86" s="104"/>
      <c r="I86" s="105"/>
      <c r="J86" s="106">
        <f t="shared" ref="J86:L86" si="50">SUM(J87:J90)</f>
        <v>0</v>
      </c>
      <c r="K86" s="106">
        <f t="shared" si="50"/>
        <v>0</v>
      </c>
      <c r="L86" s="106">
        <f t="shared" si="50"/>
        <v>0</v>
      </c>
      <c r="M86" s="92">
        <f>+M87+M88+M89+M90+M91+M92</f>
        <v>39604590</v>
      </c>
      <c r="N86" s="107">
        <f t="shared" ref="N86:R86" si="51">+N87+N88+N89+N90+N91</f>
        <v>11735755</v>
      </c>
      <c r="O86" s="107">
        <f t="shared" si="51"/>
        <v>51340345</v>
      </c>
      <c r="P86" s="107">
        <f t="shared" si="51"/>
        <v>125000</v>
      </c>
      <c r="Q86" s="107">
        <f t="shared" si="51"/>
        <v>26200</v>
      </c>
      <c r="R86" s="107">
        <f t="shared" si="51"/>
        <v>151200</v>
      </c>
      <c r="S86" s="107">
        <f>+S87+S88+S89+S90+S91</f>
        <v>51491545</v>
      </c>
      <c r="T86" s="108"/>
      <c r="U86" s="109">
        <f>'[1]RPPUP 1'!J19</f>
        <v>51491545</v>
      </c>
      <c r="V86" s="109" t="b">
        <f>S86=U86</f>
        <v>1</v>
      </c>
      <c r="W86" s="110">
        <f>M86+P86</f>
        <v>39729590</v>
      </c>
      <c r="Y86" s="112">
        <f>Y84-Y85</f>
        <v>63550000</v>
      </c>
    </row>
    <row r="87" spans="1:27" ht="12.75" customHeight="1" x14ac:dyDescent="0.25">
      <c r="A87" s="86"/>
      <c r="B87" s="87"/>
      <c r="C87" s="87"/>
      <c r="D87" s="87"/>
      <c r="E87" s="87"/>
      <c r="F87" s="87"/>
      <c r="G87" s="98" t="s">
        <v>139</v>
      </c>
      <c r="H87" s="89"/>
      <c r="I87" s="90"/>
      <c r="J87" s="96">
        <v>0</v>
      </c>
      <c r="K87" s="96">
        <v>0</v>
      </c>
      <c r="L87" s="96">
        <f t="shared" ref="L87:L92" si="52">+J87+K87</f>
        <v>0</v>
      </c>
      <c r="M87" s="97">
        <v>31184653</v>
      </c>
      <c r="N87" s="97">
        <v>9930254</v>
      </c>
      <c r="O87" s="97">
        <f t="shared" ref="O87:O92" si="53">+M87+N87</f>
        <v>41114907</v>
      </c>
      <c r="P87" s="97">
        <v>0</v>
      </c>
      <c r="Q87" s="97">
        <v>0</v>
      </c>
      <c r="R87" s="97">
        <f t="shared" ref="R87:R93" si="54">+P87+Q87</f>
        <v>0</v>
      </c>
      <c r="S87" s="97">
        <f t="shared" ref="S87:S93" si="55">+L87+O87+R87</f>
        <v>41114907</v>
      </c>
      <c r="T87" s="93"/>
      <c r="U87" s="94">
        <f>'[1]RPPUP 1'!F19</f>
        <v>41114907</v>
      </c>
      <c r="V87" s="94" t="b">
        <f>U87=S87</f>
        <v>1</v>
      </c>
      <c r="W87" s="99"/>
    </row>
    <row r="88" spans="1:27" ht="12.75" customHeight="1" x14ac:dyDescent="0.25">
      <c r="A88" s="86"/>
      <c r="B88" s="87"/>
      <c r="C88" s="87"/>
      <c r="D88" s="87"/>
      <c r="E88" s="87"/>
      <c r="F88" s="87"/>
      <c r="G88" s="95" t="s">
        <v>140</v>
      </c>
      <c r="H88" s="89"/>
      <c r="I88" s="90"/>
      <c r="J88" s="96">
        <v>0</v>
      </c>
      <c r="K88" s="96">
        <v>0</v>
      </c>
      <c r="L88" s="96">
        <f t="shared" si="52"/>
        <v>0</v>
      </c>
      <c r="M88" s="97">
        <v>0</v>
      </c>
      <c r="N88" s="97"/>
      <c r="O88" s="97">
        <f t="shared" si="53"/>
        <v>0</v>
      </c>
      <c r="P88" s="97">
        <v>125000</v>
      </c>
      <c r="Q88" s="97"/>
      <c r="R88" s="97">
        <f t="shared" si="54"/>
        <v>125000</v>
      </c>
      <c r="S88" s="97">
        <f t="shared" si="55"/>
        <v>125000</v>
      </c>
      <c r="T88" s="113"/>
      <c r="U88" s="94">
        <f>'[1]RPPUP 1'!C19</f>
        <v>125000</v>
      </c>
      <c r="V88" s="94" t="b">
        <f>U88=S88</f>
        <v>1</v>
      </c>
      <c r="X88" s="99">
        <f>N86+Q86</f>
        <v>11761955</v>
      </c>
    </row>
    <row r="89" spans="1:27" ht="12.75" customHeight="1" x14ac:dyDescent="0.25">
      <c r="A89" s="86"/>
      <c r="B89" s="87"/>
      <c r="C89" s="87"/>
      <c r="D89" s="87"/>
      <c r="E89" s="87"/>
      <c r="F89" s="87"/>
      <c r="G89" s="95" t="s">
        <v>141</v>
      </c>
      <c r="H89" s="89"/>
      <c r="I89" s="90"/>
      <c r="J89" s="96">
        <v>0</v>
      </c>
      <c r="K89" s="96">
        <v>0</v>
      </c>
      <c r="L89" s="96">
        <f t="shared" si="52"/>
        <v>0</v>
      </c>
      <c r="M89" s="97">
        <v>0</v>
      </c>
      <c r="N89" s="97"/>
      <c r="O89" s="97">
        <f t="shared" si="53"/>
        <v>0</v>
      </c>
      <c r="P89" s="97">
        <v>0</v>
      </c>
      <c r="Q89" s="97"/>
      <c r="R89" s="97">
        <f t="shared" si="54"/>
        <v>0</v>
      </c>
      <c r="S89" s="97">
        <f t="shared" si="55"/>
        <v>0</v>
      </c>
      <c r="T89" s="93"/>
      <c r="U89" s="94">
        <f>'[1]RPPUP 1'!D19</f>
        <v>0</v>
      </c>
      <c r="V89" s="94"/>
      <c r="W89" s="99">
        <f>N94+Q94</f>
        <v>321131255</v>
      </c>
      <c r="X89" s="99"/>
    </row>
    <row r="90" spans="1:27" ht="12.75" customHeight="1" x14ac:dyDescent="0.25">
      <c r="A90" s="86"/>
      <c r="B90" s="87"/>
      <c r="C90" s="87"/>
      <c r="D90" s="87"/>
      <c r="E90" s="87"/>
      <c r="F90" s="87"/>
      <c r="G90" s="95" t="s">
        <v>142</v>
      </c>
      <c r="H90" s="89"/>
      <c r="I90" s="90"/>
      <c r="J90" s="96">
        <v>0</v>
      </c>
      <c r="K90" s="96">
        <v>0</v>
      </c>
      <c r="L90" s="96">
        <f t="shared" si="52"/>
        <v>0</v>
      </c>
      <c r="M90" s="97">
        <v>5669937</v>
      </c>
      <c r="N90" s="97">
        <f>[1]APRIL!I31+[1]APRIL!I37+[1]APRIL!I43</f>
        <v>1805501</v>
      </c>
      <c r="O90" s="97">
        <f t="shared" si="53"/>
        <v>7475438</v>
      </c>
      <c r="P90" s="97">
        <v>0</v>
      </c>
      <c r="Q90" s="97">
        <v>26200</v>
      </c>
      <c r="R90" s="97">
        <f t="shared" si="54"/>
        <v>26200</v>
      </c>
      <c r="S90" s="97">
        <f t="shared" si="55"/>
        <v>7501638</v>
      </c>
      <c r="T90" s="93"/>
      <c r="U90" s="94">
        <f>'[1]RPPUP 1'!E19</f>
        <v>7501638</v>
      </c>
      <c r="V90" s="94" t="b">
        <f>U90=S90</f>
        <v>1</v>
      </c>
      <c r="W90" s="77"/>
      <c r="Y90" s="99">
        <f>N90+Q90</f>
        <v>1831701</v>
      </c>
    </row>
    <row r="91" spans="1:27" ht="12.75" customHeight="1" x14ac:dyDescent="0.25">
      <c r="A91" s="86"/>
      <c r="B91" s="87"/>
      <c r="C91" s="87"/>
      <c r="D91" s="87"/>
      <c r="E91" s="87"/>
      <c r="F91" s="87"/>
      <c r="G91" s="98" t="s">
        <v>143</v>
      </c>
      <c r="H91" s="89"/>
      <c r="I91" s="90"/>
      <c r="J91" s="96">
        <v>0</v>
      </c>
      <c r="K91" s="96">
        <v>0</v>
      </c>
      <c r="L91" s="96">
        <f t="shared" si="52"/>
        <v>0</v>
      </c>
      <c r="M91" s="97">
        <v>2750000</v>
      </c>
      <c r="N91" s="97"/>
      <c r="O91" s="97">
        <f t="shared" si="53"/>
        <v>2750000</v>
      </c>
      <c r="P91" s="97"/>
      <c r="Q91" s="97">
        <v>0</v>
      </c>
      <c r="R91" s="97">
        <f t="shared" si="54"/>
        <v>0</v>
      </c>
      <c r="S91" s="97">
        <f t="shared" si="55"/>
        <v>2750000</v>
      </c>
      <c r="T91" s="93"/>
      <c r="U91" s="94">
        <f>'[1]RPPUP 1'!G19</f>
        <v>2750000</v>
      </c>
      <c r="V91" s="94" t="b">
        <f>U91=S91</f>
        <v>1</v>
      </c>
    </row>
    <row r="92" spans="1:27" ht="12.75" customHeight="1" x14ac:dyDescent="0.25">
      <c r="A92" s="86"/>
      <c r="B92" s="87"/>
      <c r="C92" s="87"/>
      <c r="D92" s="87"/>
      <c r="E92" s="87"/>
      <c r="F92" s="87"/>
      <c r="G92" s="114" t="s">
        <v>144</v>
      </c>
      <c r="H92" s="115"/>
      <c r="I92" s="116"/>
      <c r="J92" s="96">
        <v>0</v>
      </c>
      <c r="K92" s="96">
        <v>0</v>
      </c>
      <c r="L92" s="96">
        <f t="shared" si="52"/>
        <v>0</v>
      </c>
      <c r="M92" s="97">
        <v>0</v>
      </c>
      <c r="N92" s="97">
        <v>0</v>
      </c>
      <c r="O92" s="97">
        <f t="shared" si="53"/>
        <v>0</v>
      </c>
      <c r="P92" s="92">
        <v>0</v>
      </c>
      <c r="Q92" s="97">
        <f>+'[2]BUKU PANJAR '!F15</f>
        <v>0</v>
      </c>
      <c r="R92" s="92">
        <f t="shared" si="54"/>
        <v>0</v>
      </c>
      <c r="S92" s="92">
        <f t="shared" si="55"/>
        <v>0</v>
      </c>
      <c r="T92" s="93"/>
      <c r="U92" s="94"/>
      <c r="V92" s="94"/>
      <c r="W92" s="77"/>
    </row>
    <row r="93" spans="1:27" ht="12.75" customHeight="1" thickBot="1" x14ac:dyDescent="0.3">
      <c r="A93" s="86"/>
      <c r="B93" s="87"/>
      <c r="C93" s="87"/>
      <c r="D93" s="87"/>
      <c r="E93" s="87"/>
      <c r="F93" s="87"/>
      <c r="G93" s="114" t="s">
        <v>145</v>
      </c>
      <c r="H93" s="117"/>
      <c r="I93" s="118"/>
      <c r="J93" s="119"/>
      <c r="K93" s="119"/>
      <c r="L93" s="119"/>
      <c r="M93" s="120"/>
      <c r="N93" s="120"/>
      <c r="O93" s="120"/>
      <c r="P93" s="121"/>
      <c r="Q93" s="121"/>
      <c r="R93" s="92">
        <f t="shared" si="54"/>
        <v>0</v>
      </c>
      <c r="S93" s="92">
        <f t="shared" si="55"/>
        <v>0</v>
      </c>
      <c r="T93" s="93"/>
      <c r="U93" s="94"/>
      <c r="V93" s="94"/>
    </row>
    <row r="94" spans="1:27" ht="12.75" customHeight="1" x14ac:dyDescent="0.25">
      <c r="A94" s="86"/>
      <c r="B94" s="87"/>
      <c r="C94" s="87"/>
      <c r="D94" s="87"/>
      <c r="E94" s="87"/>
      <c r="F94" s="87"/>
      <c r="G94" s="122" t="s">
        <v>146</v>
      </c>
      <c r="H94" s="123"/>
      <c r="I94" s="124"/>
      <c r="J94" s="125">
        <f t="shared" ref="J94:R94" si="56">+J86+J80</f>
        <v>0</v>
      </c>
      <c r="K94" s="125">
        <f t="shared" si="56"/>
        <v>0</v>
      </c>
      <c r="L94" s="125">
        <f t="shared" si="56"/>
        <v>0</v>
      </c>
      <c r="M94" s="126">
        <f t="shared" si="56"/>
        <v>404286090</v>
      </c>
      <c r="N94" s="126">
        <f t="shared" si="56"/>
        <v>111941055</v>
      </c>
      <c r="O94" s="126">
        <f>+O86+O80</f>
        <v>516227145</v>
      </c>
      <c r="P94" s="126">
        <f t="shared" si="56"/>
        <v>259149795</v>
      </c>
      <c r="Q94" s="126">
        <f t="shared" si="56"/>
        <v>209190200</v>
      </c>
      <c r="R94" s="126">
        <f t="shared" si="56"/>
        <v>468339995</v>
      </c>
      <c r="S94" s="126">
        <f>+S86+S80</f>
        <v>984567140</v>
      </c>
      <c r="T94" s="93"/>
      <c r="U94" s="94">
        <f>'[1]RPPUA 1'!C19</f>
        <v>984567140</v>
      </c>
      <c r="V94" s="94" t="b">
        <f>S94=U94</f>
        <v>1</v>
      </c>
      <c r="W94" s="99">
        <f>M94+P94</f>
        <v>663435885</v>
      </c>
      <c r="X94" s="99">
        <f>N94+Q94</f>
        <v>321131255</v>
      </c>
      <c r="Y94" s="99">
        <f>X94+W94</f>
        <v>984567140</v>
      </c>
    </row>
    <row r="95" spans="1:27" ht="12.75" customHeight="1" x14ac:dyDescent="0.25">
      <c r="A95" s="86"/>
      <c r="B95" s="87"/>
      <c r="C95" s="87"/>
      <c r="D95" s="87"/>
      <c r="E95" s="87"/>
      <c r="F95" s="87"/>
      <c r="G95" s="127" t="s">
        <v>147</v>
      </c>
      <c r="H95" s="128"/>
      <c r="I95" s="81"/>
      <c r="J95" s="82"/>
      <c r="K95" s="82"/>
      <c r="L95" s="82"/>
      <c r="M95" s="83"/>
      <c r="N95" s="83"/>
      <c r="O95" s="83"/>
      <c r="P95" s="83"/>
      <c r="Q95" s="83" t="s">
        <v>148</v>
      </c>
      <c r="R95" s="83"/>
      <c r="S95" s="83"/>
      <c r="T95" s="93"/>
      <c r="U95" s="94">
        <f>R94+N94</f>
        <v>580281050</v>
      </c>
      <c r="V95" s="94"/>
    </row>
    <row r="96" spans="1:27" ht="12.75" customHeight="1" x14ac:dyDescent="0.25">
      <c r="A96" s="86"/>
      <c r="B96" s="87"/>
      <c r="C96" s="87"/>
      <c r="D96" s="87"/>
      <c r="E96" s="87"/>
      <c r="F96" s="87"/>
      <c r="G96" s="88" t="s">
        <v>132</v>
      </c>
      <c r="H96" s="89"/>
      <c r="I96" s="90"/>
      <c r="J96" s="91">
        <v>0</v>
      </c>
      <c r="K96" s="91">
        <v>0</v>
      </c>
      <c r="L96" s="91">
        <f t="shared" ref="L96:L107" si="57">+J96+K96</f>
        <v>0</v>
      </c>
      <c r="M96" s="92">
        <f>+M78</f>
        <v>364681500</v>
      </c>
      <c r="N96" s="92">
        <f>SUM(N97:N100)</f>
        <v>100205300</v>
      </c>
      <c r="O96" s="92">
        <f>SUM(O97:O100)</f>
        <v>464886800</v>
      </c>
      <c r="P96" s="92">
        <f>+P97+P98+P99</f>
        <v>84951274</v>
      </c>
      <c r="Q96" s="92">
        <f>+Q97+Q98+Q99+Q100</f>
        <v>93513924</v>
      </c>
      <c r="R96" s="92">
        <f>+P96+Q96</f>
        <v>178465198</v>
      </c>
      <c r="S96" s="92">
        <f>+S97+S98+S99+S100</f>
        <v>643351998</v>
      </c>
      <c r="T96" s="93"/>
      <c r="U96" s="94">
        <f>'[1]BUKU BANK'!E59</f>
        <v>643351998</v>
      </c>
      <c r="V96" s="94" t="b">
        <f>S96=U96</f>
        <v>1</v>
      </c>
      <c r="W96" s="129"/>
      <c r="X96" s="99"/>
    </row>
    <row r="97" spans="1:30" ht="12.75" customHeight="1" x14ac:dyDescent="0.25">
      <c r="A97" s="86"/>
      <c r="B97" s="87"/>
      <c r="C97" s="87"/>
      <c r="D97" s="87"/>
      <c r="E97" s="87"/>
      <c r="F97" s="87"/>
      <c r="G97" s="95" t="s">
        <v>133</v>
      </c>
      <c r="H97" s="89"/>
      <c r="I97" s="90"/>
      <c r="J97" s="96">
        <v>0</v>
      </c>
      <c r="K97" s="96">
        <v>0</v>
      </c>
      <c r="L97" s="96">
        <f t="shared" si="57"/>
        <v>0</v>
      </c>
      <c r="M97" s="97">
        <v>0</v>
      </c>
      <c r="N97" s="97">
        <v>0</v>
      </c>
      <c r="O97" s="97">
        <f t="shared" ref="O97:O99" si="58">+M97+N97</f>
        <v>0</v>
      </c>
      <c r="P97" s="97"/>
      <c r="Q97" s="97"/>
      <c r="R97" s="97">
        <f>+P97+Q97</f>
        <v>0</v>
      </c>
      <c r="S97" s="97">
        <f>+L97+O97+R97</f>
        <v>0</v>
      </c>
      <c r="T97" s="93"/>
      <c r="U97" s="94">
        <f>Q97+N100</f>
        <v>100205300</v>
      </c>
      <c r="V97" s="94"/>
      <c r="W97" s="99"/>
      <c r="X97" s="130"/>
      <c r="AA97" s="77">
        <f>+O78+R78</f>
        <v>643351998</v>
      </c>
    </row>
    <row r="98" spans="1:30" ht="12.75" customHeight="1" x14ac:dyDescent="0.25">
      <c r="A98" s="86"/>
      <c r="B98" s="87"/>
      <c r="C98" s="87"/>
      <c r="D98" s="87"/>
      <c r="E98" s="87"/>
      <c r="F98" s="87"/>
      <c r="G98" s="98" t="s">
        <v>134</v>
      </c>
      <c r="H98" s="89"/>
      <c r="I98" s="90"/>
      <c r="J98" s="96">
        <v>0</v>
      </c>
      <c r="K98" s="96">
        <v>0</v>
      </c>
      <c r="L98" s="96">
        <f t="shared" si="57"/>
        <v>0</v>
      </c>
      <c r="M98" s="97">
        <v>0</v>
      </c>
      <c r="N98" s="97"/>
      <c r="O98" s="97">
        <f t="shared" si="58"/>
        <v>0</v>
      </c>
      <c r="P98" s="97">
        <v>84951274</v>
      </c>
      <c r="Q98" s="97">
        <v>93513924</v>
      </c>
      <c r="R98" s="97">
        <f>+P98+Q98</f>
        <v>178465198</v>
      </c>
      <c r="S98" s="97">
        <f>+L98+O98+R98</f>
        <v>178465198</v>
      </c>
      <c r="T98" s="93"/>
      <c r="U98" s="94"/>
      <c r="V98" s="94"/>
      <c r="X98" s="99"/>
    </row>
    <row r="99" spans="1:30" ht="12.75" customHeight="1" x14ac:dyDescent="0.25">
      <c r="A99" s="86"/>
      <c r="B99" s="87"/>
      <c r="C99" s="87"/>
      <c r="D99" s="87"/>
      <c r="E99" s="87"/>
      <c r="F99" s="87"/>
      <c r="G99" s="95" t="s">
        <v>135</v>
      </c>
      <c r="H99" s="89"/>
      <c r="I99" s="90"/>
      <c r="J99" s="96">
        <v>0</v>
      </c>
      <c r="K99" s="96">
        <v>0</v>
      </c>
      <c r="L99" s="96">
        <f t="shared" si="57"/>
        <v>0</v>
      </c>
      <c r="M99" s="97">
        <v>0</v>
      </c>
      <c r="N99" s="97">
        <v>0</v>
      </c>
      <c r="O99" s="97">
        <f t="shared" si="58"/>
        <v>0</v>
      </c>
      <c r="P99" s="97"/>
      <c r="Q99" s="97"/>
      <c r="R99" s="97">
        <f>+P99+Q99</f>
        <v>0</v>
      </c>
      <c r="S99" s="97">
        <f>+L99+O99+R99</f>
        <v>0</v>
      </c>
      <c r="T99" s="113"/>
      <c r="U99" s="94">
        <f>P97+P98</f>
        <v>84951274</v>
      </c>
      <c r="V99" s="94"/>
      <c r="W99" s="99">
        <f>O94+R94</f>
        <v>984567140</v>
      </c>
      <c r="Y99" s="99">
        <f>S94-Y94</f>
        <v>0</v>
      </c>
    </row>
    <row r="100" spans="1:30" ht="12.75" customHeight="1" x14ac:dyDescent="0.25">
      <c r="A100" s="86"/>
      <c r="B100" s="87"/>
      <c r="C100" s="87"/>
      <c r="D100" s="87"/>
      <c r="E100" s="87"/>
      <c r="F100" s="87"/>
      <c r="G100" s="95" t="s">
        <v>136</v>
      </c>
      <c r="H100" s="89"/>
      <c r="I100" s="90"/>
      <c r="J100" s="96">
        <v>0</v>
      </c>
      <c r="K100" s="96">
        <v>0</v>
      </c>
      <c r="L100" s="96">
        <f t="shared" si="57"/>
        <v>0</v>
      </c>
      <c r="M100" s="97">
        <v>364681500</v>
      </c>
      <c r="N100" s="97">
        <v>100205300</v>
      </c>
      <c r="O100" s="97">
        <f>N100+M100</f>
        <v>464886800</v>
      </c>
      <c r="P100" s="97">
        <v>0</v>
      </c>
      <c r="Q100" s="97">
        <f>+Q84</f>
        <v>0</v>
      </c>
      <c r="R100" s="97">
        <f>+P100+Q100</f>
        <v>0</v>
      </c>
      <c r="S100" s="97">
        <f>+L100+O100+R100</f>
        <v>464886800</v>
      </c>
      <c r="T100" s="93"/>
      <c r="U100" s="94"/>
      <c r="V100" s="94"/>
      <c r="W100" s="77"/>
      <c r="AA100" s="77">
        <f>+AA97-S110</f>
        <v>353628401</v>
      </c>
    </row>
    <row r="101" spans="1:30" ht="12.75" customHeight="1" x14ac:dyDescent="0.25">
      <c r="A101" s="86"/>
      <c r="B101" s="87"/>
      <c r="C101" s="87"/>
      <c r="D101" s="87"/>
      <c r="E101" s="87"/>
      <c r="F101" s="87"/>
      <c r="G101" s="103" t="s">
        <v>149</v>
      </c>
      <c r="H101" s="128"/>
      <c r="I101" s="81"/>
      <c r="J101" s="131">
        <v>0</v>
      </c>
      <c r="K101" s="131">
        <v>0</v>
      </c>
      <c r="L101" s="131">
        <f t="shared" si="57"/>
        <v>0</v>
      </c>
      <c r="M101" s="107">
        <f t="shared" ref="M101:O101" si="59">+M102+M103+M104+M105+M106</f>
        <v>39604590</v>
      </c>
      <c r="N101" s="107">
        <f t="shared" si="59"/>
        <v>11735755</v>
      </c>
      <c r="O101" s="107">
        <f t="shared" si="59"/>
        <v>51340345</v>
      </c>
      <c r="P101" s="107">
        <f>+P102+P103+P104+P105+P106</f>
        <v>125000</v>
      </c>
      <c r="Q101" s="107">
        <f>+Q102+Q103+Q104+Q105+Q106</f>
        <v>26200</v>
      </c>
      <c r="R101" s="107">
        <f>+R102+R103+R104+R105+R106</f>
        <v>151200</v>
      </c>
      <c r="S101" s="107">
        <f>+S102+S103+S104+S105+S106</f>
        <v>51491545</v>
      </c>
      <c r="T101" s="93"/>
      <c r="U101" s="94">
        <f>'[1]RPPUP 1'!J19</f>
        <v>51491545</v>
      </c>
      <c r="V101" s="94" t="b">
        <f>S101=U101</f>
        <v>1</v>
      </c>
      <c r="W101" s="99">
        <f>N109+Q109</f>
        <v>205481179</v>
      </c>
    </row>
    <row r="102" spans="1:30" ht="12.75" customHeight="1" x14ac:dyDescent="0.25">
      <c r="A102" s="86"/>
      <c r="B102" s="87"/>
      <c r="C102" s="87"/>
      <c r="D102" s="87"/>
      <c r="E102" s="87"/>
      <c r="F102" s="87"/>
      <c r="G102" s="98" t="s">
        <v>139</v>
      </c>
      <c r="H102" s="89"/>
      <c r="I102" s="90"/>
      <c r="J102" s="96">
        <v>0</v>
      </c>
      <c r="K102" s="96">
        <v>0</v>
      </c>
      <c r="L102" s="96">
        <f t="shared" si="57"/>
        <v>0</v>
      </c>
      <c r="M102" s="97">
        <v>31184653</v>
      </c>
      <c r="N102" s="97">
        <v>9930254</v>
      </c>
      <c r="O102" s="97">
        <f t="shared" ref="O102:O107" si="60">+M102+N102</f>
        <v>41114907</v>
      </c>
      <c r="P102" s="97">
        <v>0</v>
      </c>
      <c r="Q102" s="97">
        <v>0</v>
      </c>
      <c r="R102" s="97">
        <f t="shared" ref="R102:R108" si="61">+P102+Q102</f>
        <v>0</v>
      </c>
      <c r="S102" s="97">
        <f t="shared" ref="S102:S107" si="62">+L102+O102+R102</f>
        <v>41114907</v>
      </c>
      <c r="T102" s="93"/>
      <c r="U102" s="94"/>
      <c r="V102" s="94"/>
    </row>
    <row r="103" spans="1:30" ht="12.75" customHeight="1" x14ac:dyDescent="0.25">
      <c r="A103" s="86"/>
      <c r="B103" s="87"/>
      <c r="C103" s="87"/>
      <c r="D103" s="87"/>
      <c r="E103" s="87"/>
      <c r="F103" s="87"/>
      <c r="G103" s="95" t="s">
        <v>140</v>
      </c>
      <c r="H103" s="89"/>
      <c r="I103" s="90"/>
      <c r="J103" s="96">
        <v>0</v>
      </c>
      <c r="K103" s="96">
        <v>0</v>
      </c>
      <c r="L103" s="96">
        <f t="shared" si="57"/>
        <v>0</v>
      </c>
      <c r="M103" s="97">
        <v>0</v>
      </c>
      <c r="N103" s="97"/>
      <c r="O103" s="97">
        <f t="shared" si="60"/>
        <v>0</v>
      </c>
      <c r="P103" s="97">
        <v>125000</v>
      </c>
      <c r="Q103" s="97"/>
      <c r="R103" s="97">
        <f t="shared" si="61"/>
        <v>125000</v>
      </c>
      <c r="S103" s="97">
        <f t="shared" si="62"/>
        <v>125000</v>
      </c>
      <c r="T103" s="93"/>
      <c r="U103" s="94"/>
      <c r="V103" s="94"/>
    </row>
    <row r="104" spans="1:30" ht="12.75" customHeight="1" x14ac:dyDescent="0.25">
      <c r="A104" s="86"/>
      <c r="B104" s="87"/>
      <c r="C104" s="87"/>
      <c r="D104" s="87"/>
      <c r="E104" s="87"/>
      <c r="F104" s="87"/>
      <c r="G104" s="95" t="s">
        <v>141</v>
      </c>
      <c r="H104" s="89"/>
      <c r="I104" s="90"/>
      <c r="J104" s="96">
        <v>0</v>
      </c>
      <c r="K104" s="96">
        <v>0</v>
      </c>
      <c r="L104" s="96">
        <f t="shared" si="57"/>
        <v>0</v>
      </c>
      <c r="M104" s="97">
        <v>0</v>
      </c>
      <c r="N104" s="97"/>
      <c r="O104" s="97">
        <f t="shared" si="60"/>
        <v>0</v>
      </c>
      <c r="P104" s="97">
        <v>0</v>
      </c>
      <c r="Q104" s="97"/>
      <c r="R104" s="97">
        <f t="shared" si="61"/>
        <v>0</v>
      </c>
      <c r="S104" s="97">
        <f t="shared" si="62"/>
        <v>0</v>
      </c>
      <c r="T104" s="93"/>
      <c r="U104" s="94">
        <v>80436291</v>
      </c>
      <c r="V104" s="94"/>
    </row>
    <row r="105" spans="1:30" ht="12.75" customHeight="1" x14ac:dyDescent="0.25">
      <c r="A105" s="86"/>
      <c r="B105" s="87"/>
      <c r="C105" s="87"/>
      <c r="D105" s="87"/>
      <c r="E105" s="87"/>
      <c r="F105" s="87"/>
      <c r="G105" s="95" t="s">
        <v>142</v>
      </c>
      <c r="H105" s="89"/>
      <c r="I105" s="90"/>
      <c r="J105" s="96">
        <v>0</v>
      </c>
      <c r="K105" s="96">
        <v>0</v>
      </c>
      <c r="L105" s="96">
        <f t="shared" si="57"/>
        <v>0</v>
      </c>
      <c r="M105" s="97">
        <v>5669937</v>
      </c>
      <c r="N105" s="97">
        <v>1805501</v>
      </c>
      <c r="O105" s="97">
        <f t="shared" si="60"/>
        <v>7475438</v>
      </c>
      <c r="P105" s="97">
        <v>0</v>
      </c>
      <c r="Q105" s="97">
        <v>26200</v>
      </c>
      <c r="R105" s="97">
        <f t="shared" si="61"/>
        <v>26200</v>
      </c>
      <c r="S105" s="97">
        <f t="shared" si="62"/>
        <v>7501638</v>
      </c>
      <c r="T105" s="93"/>
      <c r="U105" s="94"/>
      <c r="V105" s="94"/>
      <c r="W105" s="132" t="s">
        <v>131</v>
      </c>
      <c r="X105" s="99">
        <f>N94+Q94</f>
        <v>321131255</v>
      </c>
      <c r="Y105" t="e">
        <f>X105=#REF!</f>
        <v>#REF!</v>
      </c>
    </row>
    <row r="106" spans="1:30" ht="12.75" customHeight="1" x14ac:dyDescent="0.25">
      <c r="A106" s="86"/>
      <c r="B106" s="87"/>
      <c r="C106" s="87"/>
      <c r="D106" s="87"/>
      <c r="E106" s="87"/>
      <c r="F106" s="87"/>
      <c r="G106" s="98" t="s">
        <v>143</v>
      </c>
      <c r="H106" s="89"/>
      <c r="I106" s="90"/>
      <c r="J106" s="96">
        <v>0</v>
      </c>
      <c r="K106" s="96">
        <v>0</v>
      </c>
      <c r="L106" s="96">
        <f t="shared" si="57"/>
        <v>0</v>
      </c>
      <c r="M106" s="97">
        <v>2750000</v>
      </c>
      <c r="N106" s="97"/>
      <c r="O106" s="97">
        <f t="shared" si="60"/>
        <v>2750000</v>
      </c>
      <c r="P106" s="97">
        <f t="shared" ref="P106" si="63">P91</f>
        <v>0</v>
      </c>
      <c r="Q106" s="97">
        <v>0</v>
      </c>
      <c r="R106" s="97">
        <f t="shared" si="61"/>
        <v>0</v>
      </c>
      <c r="S106" s="97">
        <f t="shared" si="62"/>
        <v>2750000</v>
      </c>
      <c r="T106" s="93"/>
      <c r="U106" s="94"/>
      <c r="V106" s="94"/>
      <c r="W106" s="133" t="s">
        <v>147</v>
      </c>
      <c r="X106" s="99">
        <f>N109+Q109</f>
        <v>205481179</v>
      </c>
      <c r="Y106" t="e">
        <f>X106=#REF!</f>
        <v>#REF!</v>
      </c>
    </row>
    <row r="107" spans="1:30" ht="12.75" customHeight="1" x14ac:dyDescent="0.25">
      <c r="A107" s="86"/>
      <c r="B107" s="87"/>
      <c r="C107" s="87"/>
      <c r="D107" s="87"/>
      <c r="E107" s="87"/>
      <c r="F107" s="87"/>
      <c r="G107" s="114" t="s">
        <v>144</v>
      </c>
      <c r="H107" s="115"/>
      <c r="I107" s="116"/>
      <c r="J107" s="96">
        <v>0</v>
      </c>
      <c r="K107" s="96">
        <v>0</v>
      </c>
      <c r="L107" s="96">
        <f t="shared" si="57"/>
        <v>0</v>
      </c>
      <c r="M107" s="97">
        <v>0</v>
      </c>
      <c r="N107" s="97">
        <v>0</v>
      </c>
      <c r="O107" s="97">
        <f t="shared" si="60"/>
        <v>0</v>
      </c>
      <c r="P107" s="92">
        <v>0</v>
      </c>
      <c r="Q107" s="83">
        <f>+'[2]BUKU PANJAR '!G15</f>
        <v>0</v>
      </c>
      <c r="R107" s="83">
        <f t="shared" si="61"/>
        <v>0</v>
      </c>
      <c r="S107" s="83">
        <f t="shared" si="62"/>
        <v>0</v>
      </c>
      <c r="T107" s="93"/>
      <c r="U107" s="94"/>
      <c r="V107" s="94"/>
      <c r="AD107" s="99">
        <f>Q90+N90</f>
        <v>1831701</v>
      </c>
    </row>
    <row r="108" spans="1:30" ht="12.75" customHeight="1" thickBot="1" x14ac:dyDescent="0.3">
      <c r="A108" s="86"/>
      <c r="B108" s="87"/>
      <c r="C108" s="87"/>
      <c r="D108" s="87"/>
      <c r="E108" s="87"/>
      <c r="F108" s="87"/>
      <c r="G108" s="114" t="s">
        <v>150</v>
      </c>
      <c r="H108" s="117"/>
      <c r="I108" s="118"/>
      <c r="J108" s="119"/>
      <c r="K108" s="119"/>
      <c r="L108" s="119"/>
      <c r="M108" s="120"/>
      <c r="N108" s="120"/>
      <c r="O108" s="120"/>
      <c r="P108" s="121"/>
      <c r="Q108" s="97">
        <v>0</v>
      </c>
      <c r="R108" s="97">
        <f t="shared" si="61"/>
        <v>0</v>
      </c>
      <c r="S108" s="134">
        <f>Q108</f>
        <v>0</v>
      </c>
      <c r="T108" s="93"/>
      <c r="U108" s="94"/>
      <c r="V108" s="94"/>
      <c r="W108" s="77"/>
      <c r="X108" s="99"/>
    </row>
    <row r="109" spans="1:30" ht="12.75" customHeight="1" x14ac:dyDescent="0.25">
      <c r="A109" s="86"/>
      <c r="B109" s="87"/>
      <c r="C109" s="87"/>
      <c r="D109" s="87"/>
      <c r="E109" s="87"/>
      <c r="F109" s="87"/>
      <c r="G109" s="122" t="s">
        <v>151</v>
      </c>
      <c r="H109" s="135"/>
      <c r="I109" s="124"/>
      <c r="J109" s="125">
        <f t="shared" ref="J109:L109" si="64">+J96+J101+J107</f>
        <v>0</v>
      </c>
      <c r="K109" s="125">
        <f t="shared" si="64"/>
        <v>0</v>
      </c>
      <c r="L109" s="125">
        <f t="shared" si="64"/>
        <v>0</v>
      </c>
      <c r="M109" s="126">
        <f t="shared" ref="M109:R109" si="65">+M101+M96</f>
        <v>404286090</v>
      </c>
      <c r="N109" s="126">
        <f>+N101+N96</f>
        <v>111941055</v>
      </c>
      <c r="O109" s="126">
        <f>+O101+O96</f>
        <v>516227145</v>
      </c>
      <c r="P109" s="126">
        <f>+P101+P96</f>
        <v>85076274</v>
      </c>
      <c r="Q109" s="126">
        <f>+Q101+Q96+Q108</f>
        <v>93540124</v>
      </c>
      <c r="R109" s="126">
        <f t="shared" si="65"/>
        <v>178616398</v>
      </c>
      <c r="S109" s="126">
        <f>+S101+S96+S108</f>
        <v>694843543</v>
      </c>
      <c r="T109" s="93"/>
      <c r="U109" s="94">
        <f>'[1]RPPUA 1'!D19</f>
        <v>694843543</v>
      </c>
      <c r="V109" s="94" t="b">
        <f>S109=U109</f>
        <v>1</v>
      </c>
      <c r="W109">
        <v>3497085889</v>
      </c>
    </row>
    <row r="110" spans="1:30" ht="12.75" customHeight="1" x14ac:dyDescent="0.25">
      <c r="A110" s="136"/>
      <c r="B110" s="137"/>
      <c r="C110" s="137"/>
      <c r="D110" s="137"/>
      <c r="E110" s="137"/>
      <c r="F110" s="137"/>
      <c r="G110" s="98" t="s">
        <v>152</v>
      </c>
      <c r="H110" s="89"/>
      <c r="I110" s="90"/>
      <c r="J110" s="96"/>
      <c r="K110" s="96"/>
      <c r="L110" s="96"/>
      <c r="M110" s="97"/>
      <c r="N110" s="97"/>
      <c r="O110" s="97"/>
      <c r="P110" s="92">
        <v>0</v>
      </c>
      <c r="Q110" s="97">
        <v>0</v>
      </c>
      <c r="R110" s="92">
        <v>0</v>
      </c>
      <c r="S110" s="138">
        <f>+S94-S109</f>
        <v>289723597</v>
      </c>
      <c r="T110" s="139"/>
      <c r="U110" s="94">
        <v>464772520</v>
      </c>
      <c r="V110" s="94">
        <f>U110-S110</f>
        <v>175048923</v>
      </c>
    </row>
    <row r="111" spans="1:30" ht="12.75" customHeight="1" x14ac:dyDescent="0.25">
      <c r="A111" s="87"/>
      <c r="B111" s="87"/>
      <c r="C111" s="87"/>
      <c r="D111" s="87"/>
      <c r="E111" s="87"/>
      <c r="F111" s="87"/>
      <c r="G111" s="117"/>
      <c r="H111" s="117"/>
      <c r="I111" s="94"/>
      <c r="J111" s="94"/>
      <c r="K111" s="94"/>
      <c r="L111" s="94"/>
      <c r="M111" s="94"/>
      <c r="N111" s="94"/>
      <c r="O111" s="140">
        <f>M109+N109</f>
        <v>516227145</v>
      </c>
      <c r="P111" s="141"/>
      <c r="Q111" s="142"/>
      <c r="R111" s="143">
        <f>P109+Q109</f>
        <v>178616398</v>
      </c>
      <c r="S111" s="144">
        <f>O111+R111</f>
        <v>694843543</v>
      </c>
      <c r="T111" s="94"/>
      <c r="U111" s="94"/>
      <c r="V111" s="94"/>
    </row>
    <row r="112" spans="1:30" ht="18.75" customHeight="1" x14ac:dyDescent="0.25">
      <c r="G112" s="145" t="s">
        <v>153</v>
      </c>
      <c r="H112" s="117"/>
      <c r="J112" s="146"/>
      <c r="K112" s="146"/>
      <c r="O112" s="146"/>
      <c r="P112" s="147"/>
      <c r="Q112" s="146"/>
      <c r="R112" s="148" t="s">
        <v>154</v>
      </c>
      <c r="S112" s="149"/>
      <c r="T112" s="87"/>
      <c r="U112" s="87"/>
      <c r="V112" s="87"/>
      <c r="W112" s="147">
        <f>Q109+N109</f>
        <v>205481179</v>
      </c>
    </row>
    <row r="113" spans="7:25" ht="12.75" customHeight="1" x14ac:dyDescent="0.25">
      <c r="G113" s="150" t="s">
        <v>5</v>
      </c>
      <c r="H113" s="149"/>
      <c r="I113" s="151"/>
      <c r="J113" s="152"/>
      <c r="K113" s="152"/>
      <c r="L113" s="153" t="s">
        <v>155</v>
      </c>
      <c r="M113" s="150" t="s">
        <v>155</v>
      </c>
      <c r="N113" s="149"/>
      <c r="O113" s="154"/>
      <c r="P113" s="87"/>
      <c r="Q113" s="147"/>
      <c r="R113" s="150" t="s">
        <v>7</v>
      </c>
      <c r="S113" s="146"/>
      <c r="T113" s="146"/>
      <c r="U113" s="146"/>
      <c r="V113" s="146"/>
      <c r="W113" s="146"/>
    </row>
    <row r="114" spans="7:25" ht="12.75" customHeight="1" x14ac:dyDescent="0.25">
      <c r="G114" s="145"/>
      <c r="H114" s="149"/>
      <c r="I114" s="152"/>
      <c r="J114" s="155"/>
      <c r="K114" s="155"/>
      <c r="L114" s="156"/>
      <c r="M114" s="145"/>
      <c r="N114" s="149"/>
      <c r="O114" s="146"/>
      <c r="P114" s="147"/>
      <c r="Q114" s="87"/>
      <c r="R114" s="117"/>
      <c r="S114" s="146"/>
      <c r="T114" s="146"/>
      <c r="U114" s="147">
        <f>S94-S109</f>
        <v>289723597</v>
      </c>
      <c r="V114" s="146"/>
      <c r="W114" s="146"/>
      <c r="Y114">
        <v>66109666</v>
      </c>
    </row>
    <row r="115" spans="7:25" ht="12.75" customHeight="1" x14ac:dyDescent="0.25">
      <c r="G115" s="145"/>
      <c r="H115" s="149"/>
      <c r="I115" s="151"/>
      <c r="J115" s="155"/>
      <c r="K115" s="155"/>
      <c r="L115" s="156"/>
      <c r="M115" s="145"/>
      <c r="N115" s="149"/>
      <c r="O115" s="147"/>
      <c r="P115" s="87"/>
      <c r="Q115" s="147"/>
      <c r="R115" s="117"/>
      <c r="S115" s="146"/>
      <c r="T115" s="146"/>
      <c r="U115" s="147" t="e">
        <f>S110-#REF!</f>
        <v>#REF!</v>
      </c>
      <c r="V115" s="146"/>
      <c r="W115" s="146"/>
      <c r="Y115">
        <v>66109666</v>
      </c>
    </row>
    <row r="116" spans="7:25" ht="12.75" customHeight="1" x14ac:dyDescent="0.25">
      <c r="G116" s="145"/>
      <c r="H116" s="149"/>
      <c r="I116" s="151"/>
      <c r="J116" s="155"/>
      <c r="K116" s="155"/>
      <c r="L116" s="156"/>
      <c r="M116" s="145"/>
      <c r="N116" s="149"/>
      <c r="O116" s="87"/>
      <c r="P116" s="147"/>
      <c r="Q116" s="146"/>
      <c r="R116" s="117"/>
      <c r="S116" s="146"/>
      <c r="T116" s="146"/>
      <c r="U116" s="146"/>
      <c r="V116" s="146"/>
      <c r="W116" s="146"/>
    </row>
    <row r="117" spans="7:25" ht="14.25" customHeight="1" x14ac:dyDescent="0.25">
      <c r="G117" s="157" t="s">
        <v>156</v>
      </c>
      <c r="H117" s="157"/>
      <c r="I117" s="151"/>
      <c r="K117" s="155"/>
      <c r="L117" s="158" t="s">
        <v>157</v>
      </c>
      <c r="M117" s="157" t="s">
        <v>158</v>
      </c>
      <c r="N117" s="157"/>
      <c r="O117" s="146"/>
      <c r="P117" s="87"/>
      <c r="Q117" s="146"/>
      <c r="R117" s="157" t="s">
        <v>159</v>
      </c>
      <c r="S117" s="157"/>
      <c r="T117" s="87"/>
      <c r="U117" s="87"/>
      <c r="V117" s="87"/>
      <c r="W117" s="146"/>
    </row>
    <row r="118" spans="7:25" ht="16.5" customHeight="1" x14ac:dyDescent="0.25">
      <c r="G118" s="145" t="s">
        <v>160</v>
      </c>
      <c r="H118" s="145"/>
      <c r="I118" s="151"/>
      <c r="J118" s="155"/>
      <c r="K118" s="155"/>
      <c r="L118" s="156" t="s">
        <v>161</v>
      </c>
      <c r="M118" s="145" t="s">
        <v>162</v>
      </c>
      <c r="N118" s="145"/>
      <c r="O118" s="146"/>
      <c r="P118" s="146"/>
      <c r="Q118" s="146"/>
      <c r="R118" s="145" t="s">
        <v>162</v>
      </c>
      <c r="S118" s="145"/>
      <c r="T118" s="146"/>
      <c r="U118" s="146"/>
      <c r="V118" s="146"/>
      <c r="W118" s="146"/>
    </row>
    <row r="119" spans="7:25" ht="14.25" customHeight="1" x14ac:dyDescent="0.25">
      <c r="G119" s="145" t="s">
        <v>163</v>
      </c>
      <c r="H119" s="145"/>
      <c r="I119" s="146"/>
      <c r="J119" s="146"/>
      <c r="K119" s="146"/>
      <c r="L119" s="156" t="s">
        <v>164</v>
      </c>
      <c r="M119" s="145" t="s">
        <v>165</v>
      </c>
      <c r="N119" s="145"/>
      <c r="O119" s="146"/>
      <c r="P119" s="146"/>
      <c r="Q119" s="146"/>
      <c r="R119" s="159" t="s">
        <v>166</v>
      </c>
      <c r="S119" s="159"/>
      <c r="T119" s="146"/>
      <c r="U119" s="146"/>
      <c r="V119" s="146"/>
      <c r="W119" s="146"/>
    </row>
    <row r="120" spans="7:25" ht="15.75" customHeight="1" x14ac:dyDescent="0.25"/>
    <row r="121" spans="7:25" ht="15.75" customHeight="1" x14ac:dyDescent="0.25">
      <c r="V121" s="99">
        <f>N102+N105+Q103</f>
        <v>11735755</v>
      </c>
    </row>
    <row r="122" spans="7:25" ht="15.75" customHeight="1" x14ac:dyDescent="0.25">
      <c r="I122" s="133"/>
    </row>
    <row r="123" spans="7:25" ht="15.75" customHeight="1" x14ac:dyDescent="0.25"/>
    <row r="124" spans="7:25" ht="15.75" customHeight="1" x14ac:dyDescent="0.25"/>
    <row r="125" spans="7:25" ht="15.75" customHeight="1" x14ac:dyDescent="0.25"/>
    <row r="126" spans="7:25" ht="15.75" customHeight="1" x14ac:dyDescent="0.25"/>
    <row r="127" spans="7:25" ht="15.75" customHeight="1" x14ac:dyDescent="0.25"/>
    <row r="128" spans="7:2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mergeCells count="99">
    <mergeCell ref="G76:H76"/>
    <mergeCell ref="A78:F78"/>
    <mergeCell ref="R119:S119"/>
    <mergeCell ref="G71:H71"/>
    <mergeCell ref="A72:F72"/>
    <mergeCell ref="G72:H72"/>
    <mergeCell ref="G73:H73"/>
    <mergeCell ref="G74:H74"/>
    <mergeCell ref="G75:H75"/>
    <mergeCell ref="G66:H66"/>
    <mergeCell ref="G67:H67"/>
    <mergeCell ref="A68:F68"/>
    <mergeCell ref="G68:H68"/>
    <mergeCell ref="G69:H69"/>
    <mergeCell ref="G70:H70"/>
    <mergeCell ref="G61:H61"/>
    <mergeCell ref="A62:F62"/>
    <mergeCell ref="G62:H62"/>
    <mergeCell ref="G63:H63"/>
    <mergeCell ref="G64:H64"/>
    <mergeCell ref="G65:H65"/>
    <mergeCell ref="G56:H56"/>
    <mergeCell ref="G57:H57"/>
    <mergeCell ref="G58:H58"/>
    <mergeCell ref="A59:F59"/>
    <mergeCell ref="G59:H59"/>
    <mergeCell ref="G60:H60"/>
    <mergeCell ref="A51:F51"/>
    <mergeCell ref="G51:H51"/>
    <mergeCell ref="G52:H52"/>
    <mergeCell ref="G53:H53"/>
    <mergeCell ref="G54:H54"/>
    <mergeCell ref="A55:F55"/>
    <mergeCell ref="G55:H55"/>
    <mergeCell ref="G45:H45"/>
    <mergeCell ref="G46:H46"/>
    <mergeCell ref="G47:H47"/>
    <mergeCell ref="G48:H48"/>
    <mergeCell ref="G49:H49"/>
    <mergeCell ref="G50:H50"/>
    <mergeCell ref="A40:F40"/>
    <mergeCell ref="G40:H40"/>
    <mergeCell ref="G41:H41"/>
    <mergeCell ref="G42:H42"/>
    <mergeCell ref="G43:H43"/>
    <mergeCell ref="A44:F44"/>
    <mergeCell ref="G44:H44"/>
    <mergeCell ref="G35:H35"/>
    <mergeCell ref="G36:H36"/>
    <mergeCell ref="G37:H37"/>
    <mergeCell ref="A38:F38"/>
    <mergeCell ref="G38:H38"/>
    <mergeCell ref="G39:H39"/>
    <mergeCell ref="G31:H31"/>
    <mergeCell ref="A32:F32"/>
    <mergeCell ref="G32:H32"/>
    <mergeCell ref="G33:H33"/>
    <mergeCell ref="A34:F34"/>
    <mergeCell ref="G34:H34"/>
    <mergeCell ref="G26:H26"/>
    <mergeCell ref="G27:H27"/>
    <mergeCell ref="A28:F28"/>
    <mergeCell ref="G28:H28"/>
    <mergeCell ref="G29:H29"/>
    <mergeCell ref="G30:H30"/>
    <mergeCell ref="G21:H21"/>
    <mergeCell ref="G22:H22"/>
    <mergeCell ref="G23:H23"/>
    <mergeCell ref="G24:H24"/>
    <mergeCell ref="A25:F25"/>
    <mergeCell ref="G25:H25"/>
    <mergeCell ref="A17:F17"/>
    <mergeCell ref="G17:H17"/>
    <mergeCell ref="G18:H18"/>
    <mergeCell ref="A19:F19"/>
    <mergeCell ref="G19:H19"/>
    <mergeCell ref="G20:H20"/>
    <mergeCell ref="O14:O15"/>
    <mergeCell ref="P14:P15"/>
    <mergeCell ref="Q14:Q15"/>
    <mergeCell ref="R14:R15"/>
    <mergeCell ref="A16:F16"/>
    <mergeCell ref="G16:H16"/>
    <mergeCell ref="A13:F15"/>
    <mergeCell ref="G13:H15"/>
    <mergeCell ref="J13:L13"/>
    <mergeCell ref="M13:O13"/>
    <mergeCell ref="P13:R13"/>
    <mergeCell ref="J14:J15"/>
    <mergeCell ref="K14:K15"/>
    <mergeCell ref="L14:L15"/>
    <mergeCell ref="M14:M15"/>
    <mergeCell ref="N14:N15"/>
    <mergeCell ref="A1:T1"/>
    <mergeCell ref="A2:T2"/>
    <mergeCell ref="A3:T3"/>
    <mergeCell ref="A4:T4"/>
    <mergeCell ref="A5:T5"/>
    <mergeCell ref="A6:T6"/>
  </mergeCells>
  <printOptions horizontalCentered="1"/>
  <pageMargins left="0" right="0.39370078740157483" top="0.39370078740157483" bottom="0.39370078740157483" header="0" footer="0"/>
  <pageSetup paperSize="10000" scale="64" fitToHeight="3" orientation="landscape" r:id="rId1"/>
  <rowBreaks count="1" manualBreakCount="1">
    <brk id="47" max="19" man="1"/>
  </rowBreaks>
  <colBreaks count="2" manualBreakCount="2">
    <brk id="13" max="134" man="1"/>
    <brk id="2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LPJ 2026</vt:lpstr>
      <vt:lpstr>'LPJ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Fajar Muzaky</dc:creator>
  <cp:lastModifiedBy>M Fajar Muzaky</cp:lastModifiedBy>
  <dcterms:created xsi:type="dcterms:W3CDTF">2026-05-06T04:52:52Z</dcterms:created>
  <dcterms:modified xsi:type="dcterms:W3CDTF">2026-05-06T04:53:06Z</dcterms:modified>
</cp:coreProperties>
</file>