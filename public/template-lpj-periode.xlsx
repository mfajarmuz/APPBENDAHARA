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 SPACE\PROJECT\APPBENDAHARA\res\"/>
    </mc:Choice>
  </mc:AlternateContent>
  <xr:revisionPtr revIDLastSave="0" documentId="13_ncr:1_{A51DAB4E-B590-4BCF-BCCE-F73A38426342}" xr6:coauthVersionLast="47" xr6:coauthVersionMax="47" xr10:uidLastSave="{00000000-0000-0000-0000-000000000000}"/>
  <bookViews>
    <workbookView xWindow="-120" yWindow="-120" windowWidth="38640" windowHeight="21120" xr2:uid="{133C5954-7B1A-4ADF-B2DC-AE156BE0E78C}"/>
  </bookViews>
  <sheets>
    <sheet name="LPJ 2026" sheetId="1" r:id="rId1"/>
  </sheets>
  <externalReferences>
    <externalReference r:id="rId2"/>
  </externalReferences>
  <definedNames>
    <definedName name="___new3">#REF!</definedName>
    <definedName name="_new3">#REF!</definedName>
    <definedName name="a">#REF!</definedName>
    <definedName name="aa" localSheetId="0">#REF!</definedName>
    <definedName name="aa">#REF!</definedName>
    <definedName name="aaa">#REF!</definedName>
    <definedName name="aaaa">#REF!</definedName>
    <definedName name="aaaaa">#REF!</definedName>
    <definedName name="aaaaaa">#REF!</definedName>
    <definedName name="AAAAAAAA">#REF!</definedName>
    <definedName name="abdul">#REF!</definedName>
    <definedName name="Analisa_Biaya" localSheetId="0">#REF!</definedName>
    <definedName name="Analisa_Biaya">#REF!</definedName>
    <definedName name="aprias">#REF!</definedName>
    <definedName name="april">#REF!</definedName>
    <definedName name="asd">#REF!</definedName>
    <definedName name="asdada">#REF!</definedName>
    <definedName name="asdasasasa" localSheetId="0">#REF!</definedName>
    <definedName name="asdasasasa">#REF!</definedName>
    <definedName name="ASDEDA">#REF!</definedName>
    <definedName name="asdedas">#REF!</definedName>
    <definedName name="asdsfasf" localSheetId="0">#REF!</definedName>
    <definedName name="asdsfasf">#REF!</definedName>
    <definedName name="asli">#REF!</definedName>
    <definedName name="ayam">#REF!</definedName>
    <definedName name="badan">#REF!</definedName>
    <definedName name="bangsos">#REF!</definedName>
    <definedName name="BARUPISAN">#REF!</definedName>
    <definedName name="bbb">#REF!</definedName>
    <definedName name="bbbbbbbbbb">#REF!</definedName>
    <definedName name="bidang6">#REF!</definedName>
    <definedName name="bidang7">#REF!</definedName>
    <definedName name="BNP">#REF!</definedName>
    <definedName name="BP3AKB">#REF!</definedName>
    <definedName name="BPMD">#REF!</definedName>
    <definedName name="cimplung">#REF!</definedName>
    <definedName name="cimprung">#REF!</definedName>
    <definedName name="csalkdjslfxsf">#REF!</definedName>
    <definedName name="d" localSheetId="0">#REF!</definedName>
    <definedName name="d">#REF!</definedName>
    <definedName name="dadad">#REF!</definedName>
    <definedName name="dari_darohman">#REF!</definedName>
    <definedName name="data" localSheetId="0">#REF!</definedName>
    <definedName name="data">#REF!</definedName>
    <definedName name="dd" localSheetId="0">#REF!</definedName>
    <definedName name="dd">#REF!</definedName>
    <definedName name="ddddddd">#REF!</definedName>
    <definedName name="ddkkslala">#REF!</definedName>
    <definedName name="ded" localSheetId="0">#REF!</definedName>
    <definedName name="ded">#REF!</definedName>
    <definedName name="dedei">#REF!</definedName>
    <definedName name="dedi" localSheetId="0">#REF!</definedName>
    <definedName name="dedi">#REF!</definedName>
    <definedName name="dedi2">#REF!</definedName>
    <definedName name="dgfhg">#REF!</definedName>
    <definedName name="diding">#REF!</definedName>
    <definedName name="diklat">#REF!</definedName>
    <definedName name="DINSISIIS">#REF!</definedName>
    <definedName name="DINSKANE">#REF!</definedName>
    <definedName name="DINSOS">#REF!</definedName>
    <definedName name="DISKIMRUM">#REF!</definedName>
    <definedName name="disnaker">#REF!</definedName>
    <definedName name="disnakertrans">#REF!</definedName>
    <definedName name="disperindag">#REF!</definedName>
    <definedName name="dispnda" localSheetId="0">#REF!</definedName>
    <definedName name="dispnda">#REF!</definedName>
    <definedName name="dodol">#REF!</definedName>
    <definedName name="DPMD">#REF!</definedName>
    <definedName name="DPMDESA">#REF!</definedName>
    <definedName name="ds" localSheetId="0">#REF!</definedName>
    <definedName name="ds">#REF!</definedName>
    <definedName name="DSES">#REF!</definedName>
    <definedName name="dudung">#REF!</definedName>
    <definedName name="dunk">#REF!</definedName>
    <definedName name="Excel_BuiltIn_Print_Area_3" localSheetId="0">#REF!</definedName>
    <definedName name="Excel_BuiltIn_Print_Area_3">#REF!</definedName>
    <definedName name="Excel_BuiltIn_Print_Area_5" localSheetId="0">#REF!</definedName>
    <definedName name="Excel_BuiltIn_Print_Area_5">#REF!</definedName>
    <definedName name="Excel_BuiltIn_Print_Area_6" localSheetId="0">#REF!</definedName>
    <definedName name="Excel_BuiltIn_Print_Area_6">#REF!</definedName>
    <definedName name="Excel_BuiltIn_Print_Titles_3" localSheetId="0">#REF!</definedName>
    <definedName name="Excel_BuiltIn_Print_Titles_3">#REF!</definedName>
    <definedName name="Excel_BuiltIn_Print_Titles_5" localSheetId="0">#REF!</definedName>
    <definedName name="Excel_BuiltIn_Print_Titles_5">#REF!</definedName>
    <definedName name="Excel_BuiltIn_Print_Titles_6" localSheetId="0">#REF!</definedName>
    <definedName name="Excel_BuiltIn_Print_Titles_6">#REF!</definedName>
    <definedName name="exchange">#REF!</definedName>
    <definedName name="fauzi">#REF!</definedName>
    <definedName name="fauzii">#REF!</definedName>
    <definedName name="fff">#REF!</definedName>
    <definedName name="FGUYGKJNL">#REF!</definedName>
    <definedName name="gendut">#REF!</definedName>
    <definedName name="gerandong">#REF!</definedName>
    <definedName name="iii">#REF!</definedName>
    <definedName name="IIN">#REF!</definedName>
    <definedName name="INDAG">#REF!</definedName>
    <definedName name="jatuh">#REF!</definedName>
    <definedName name="JHGJB">#REF!</definedName>
    <definedName name="Juni">#REF!</definedName>
    <definedName name="k">#REF!</definedName>
    <definedName name="KDIJDI">#REF!</definedName>
    <definedName name="kecipring">#REF!</definedName>
    <definedName name="kinanti">#REF!</definedName>
    <definedName name="KODE" localSheetId="0">#REF!</definedName>
    <definedName name="KODE">#REF!</definedName>
    <definedName name="koko">#REF!</definedName>
    <definedName name="KPP" localSheetId="0">#REF!</definedName>
    <definedName name="KPP">#REF!</definedName>
    <definedName name="lap">#REF!</definedName>
    <definedName name="lll">#REF!</definedName>
    <definedName name="malam">#REF!</definedName>
    <definedName name="MARET">#REF!</definedName>
    <definedName name="Mei">#REF!</definedName>
    <definedName name="MRT" localSheetId="0">#REF!</definedName>
    <definedName name="MRT">#REF!</definedName>
    <definedName name="nb" localSheetId="0">#REF!</definedName>
    <definedName name="nb">#REF!</definedName>
    <definedName name="newbaru">#REF!</definedName>
    <definedName name="newpagu">#REF!</definedName>
    <definedName name="nining">#REF!</definedName>
    <definedName name="Noncuyy">#REF!</definedName>
    <definedName name="odading">#REF!</definedName>
    <definedName name="oke">#REF!</definedName>
    <definedName name="paguppas">#REF!</definedName>
    <definedName name="paguppascopi">#REF!</definedName>
    <definedName name="pariwisata">#REF!</definedName>
    <definedName name="PEM_PEREM">#REF!</definedName>
    <definedName name="pemberdayaanmasya">#REF!</definedName>
    <definedName name="penyesuaianpagu">#REF!</definedName>
    <definedName name="per">#REF!</definedName>
    <definedName name="perbidang">#REF!</definedName>
    <definedName name="perbidangdbg">#REF!</definedName>
    <definedName name="perencanaan">#REF!</definedName>
    <definedName name="peronding">#REF!</definedName>
    <definedName name="ppas">#REF!</definedName>
    <definedName name="_xlnm.Print_Area" localSheetId="0">'LPJ 2026'!$A$1:$T$121</definedName>
    <definedName name="ramping">#REF!</definedName>
    <definedName name="Ranking" localSheetId="0">#REF!</definedName>
    <definedName name="Ranking">#REF!</definedName>
    <definedName name="renstra">#REF!</definedName>
    <definedName name="rerendo">#REF!</definedName>
    <definedName name="restarea">#REF!</definedName>
    <definedName name="salaah">#REF!</definedName>
    <definedName name="SDADAE">#REF!</definedName>
    <definedName name="SDEAD">#REF!</definedName>
    <definedName name="sdfdsg" localSheetId="0">#REF!</definedName>
    <definedName name="sdfdsg">#REF!</definedName>
    <definedName name="sef">#REF!</definedName>
    <definedName name="sekret">#REF!</definedName>
    <definedName name="SHNSHNS">#REF!</definedName>
    <definedName name="soe">#REF!</definedName>
    <definedName name="ss">#REF!</definedName>
    <definedName name="sss" localSheetId="0">#REF!</definedName>
    <definedName name="sss">#REF!</definedName>
    <definedName name="ssss" localSheetId="0">#REF!</definedName>
    <definedName name="ssss">#REF!</definedName>
    <definedName name="sssss" localSheetId="0">#REF!</definedName>
    <definedName name="sssss">#REF!</definedName>
    <definedName name="SUKARAJA" localSheetId="0">#REF!</definedName>
    <definedName name="SUKARAJA">#REF!</definedName>
    <definedName name="tabel">#REF!</definedName>
    <definedName name="tata">#REF!</definedName>
    <definedName name="tatadado">#REF!</definedName>
    <definedName name="TEST">#REF!</definedName>
    <definedName name="toni">#REF!</definedName>
    <definedName name="transmigrasi">#REF!</definedName>
    <definedName name="tulsnv">#REF!</definedName>
    <definedName name="URUSAN">#REF!</definedName>
    <definedName name="usulan">#REF!</definedName>
    <definedName name="vsdfsdfsdf" localSheetId="0">#REF!</definedName>
    <definedName name="vsdfsdfsdf">#REF!</definedName>
    <definedName name="weklsfksa">#REF!</definedName>
    <definedName name="wer">#REF!</definedName>
    <definedName name="ww">#REF!</definedName>
    <definedName name="www">#REF!</definedName>
    <definedName name="wwwww" localSheetId="0">#REF!</definedName>
    <definedName name="wwwww">#REF!</definedName>
    <definedName name="xpander">#REF!</definedName>
    <definedName name="xxx" localSheetId="0">#REF!</definedName>
    <definedName name="xxx">#REF!</definedName>
    <definedName name="xxxxxxx" localSheetId="0">#REF!</definedName>
    <definedName name="xxxxxxx">#REF!</definedName>
    <definedName name="Yansos">#REF!</definedName>
    <definedName name="z">#REF!</definedName>
    <definedName name="z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98" i="1" l="1"/>
  <c r="Q111" i="1" s="1"/>
  <c r="O94" i="1"/>
  <c r="O93" i="1"/>
  <c r="O92" i="1"/>
  <c r="O91" i="1"/>
  <c r="O90" i="1"/>
  <c r="O89" i="1"/>
  <c r="O86" i="1"/>
  <c r="M82" i="1"/>
  <c r="N82" i="1"/>
  <c r="M80" i="1"/>
  <c r="N80" i="1"/>
  <c r="O80" i="1"/>
  <c r="P80" i="1"/>
  <c r="O51" i="1"/>
  <c r="O50" i="1"/>
  <c r="O49" i="1"/>
  <c r="O48" i="1"/>
  <c r="O47" i="1"/>
  <c r="O46" i="1"/>
  <c r="S50" i="1"/>
  <c r="S51" i="1"/>
  <c r="T51" i="1" s="1"/>
  <c r="R55" i="1"/>
  <c r="O55" i="1"/>
  <c r="L55" i="1"/>
  <c r="S55" i="1" s="1"/>
  <c r="T55" i="1" s="1"/>
  <c r="O24" i="1"/>
  <c r="T24" i="1" s="1"/>
  <c r="I26" i="1"/>
  <c r="K111" i="1"/>
  <c r="J111" i="1"/>
  <c r="S110" i="1"/>
  <c r="R110" i="1"/>
  <c r="Q109" i="1"/>
  <c r="R109" i="1" s="1"/>
  <c r="O109" i="1"/>
  <c r="L109" i="1"/>
  <c r="P108" i="1"/>
  <c r="R108" i="1" s="1"/>
  <c r="O108" i="1"/>
  <c r="L108" i="1"/>
  <c r="R107" i="1"/>
  <c r="O107" i="1"/>
  <c r="L107" i="1"/>
  <c r="R106" i="1"/>
  <c r="O106" i="1"/>
  <c r="L106" i="1"/>
  <c r="R105" i="1"/>
  <c r="O105" i="1"/>
  <c r="L105" i="1"/>
  <c r="R104" i="1"/>
  <c r="O104" i="1"/>
  <c r="L104" i="1"/>
  <c r="Q103" i="1"/>
  <c r="N103" i="1"/>
  <c r="M103" i="1"/>
  <c r="L103" i="1"/>
  <c r="Q102" i="1"/>
  <c r="R102" i="1" s="1"/>
  <c r="O102" i="1"/>
  <c r="L102" i="1"/>
  <c r="R101" i="1"/>
  <c r="O101" i="1"/>
  <c r="L101" i="1"/>
  <c r="S101" i="1" s="1"/>
  <c r="L100" i="1"/>
  <c r="R99" i="1"/>
  <c r="O99" i="1"/>
  <c r="L99" i="1"/>
  <c r="P98" i="1"/>
  <c r="N98" i="1"/>
  <c r="L98" i="1"/>
  <c r="R95" i="1"/>
  <c r="S95" i="1" s="1"/>
  <c r="Q94" i="1"/>
  <c r="R94" i="1" s="1"/>
  <c r="L94" i="1"/>
  <c r="R93" i="1"/>
  <c r="L93" i="1"/>
  <c r="R92" i="1"/>
  <c r="L92" i="1"/>
  <c r="R91" i="1"/>
  <c r="L91" i="1"/>
  <c r="R90" i="1"/>
  <c r="L90" i="1"/>
  <c r="R89" i="1"/>
  <c r="L89" i="1"/>
  <c r="Q88" i="1"/>
  <c r="P88" i="1"/>
  <c r="N88" i="1"/>
  <c r="M88" i="1"/>
  <c r="K88" i="1"/>
  <c r="K96" i="1" s="1"/>
  <c r="J88" i="1"/>
  <c r="J96" i="1" s="1"/>
  <c r="R87" i="1"/>
  <c r="L87" i="1"/>
  <c r="S87" i="1" s="1"/>
  <c r="R86" i="1"/>
  <c r="L86" i="1"/>
  <c r="R85" i="1"/>
  <c r="O85" i="1"/>
  <c r="L85" i="1"/>
  <c r="S85" i="1" s="1"/>
  <c r="R84" i="1"/>
  <c r="O84" i="1"/>
  <c r="L84" i="1"/>
  <c r="R83" i="1"/>
  <c r="L83" i="1"/>
  <c r="Q82" i="1"/>
  <c r="P82" i="1"/>
  <c r="L82" i="1"/>
  <c r="R78" i="1"/>
  <c r="O78" i="1"/>
  <c r="L78" i="1"/>
  <c r="S78" i="1" s="1"/>
  <c r="R77" i="1"/>
  <c r="O77" i="1"/>
  <c r="L77" i="1"/>
  <c r="R76" i="1"/>
  <c r="O76" i="1"/>
  <c r="L76" i="1"/>
  <c r="R75" i="1"/>
  <c r="Q74" i="1"/>
  <c r="P74" i="1"/>
  <c r="N74" i="1"/>
  <c r="M74" i="1"/>
  <c r="K74" i="1"/>
  <c r="J74" i="1"/>
  <c r="I74" i="1"/>
  <c r="R73" i="1"/>
  <c r="S73" i="1" s="1"/>
  <c r="R72" i="1"/>
  <c r="S72" i="1" s="1"/>
  <c r="T72" i="1" s="1"/>
  <c r="R71" i="1"/>
  <c r="S71" i="1" s="1"/>
  <c r="Q70" i="1"/>
  <c r="P70" i="1"/>
  <c r="O70" i="1"/>
  <c r="N70" i="1"/>
  <c r="M70" i="1"/>
  <c r="L70" i="1"/>
  <c r="K70" i="1"/>
  <c r="J70" i="1"/>
  <c r="I70" i="1"/>
  <c r="R69" i="1"/>
  <c r="O69" i="1"/>
  <c r="L69" i="1"/>
  <c r="R68" i="1"/>
  <c r="O68" i="1"/>
  <c r="L68" i="1"/>
  <c r="R67" i="1"/>
  <c r="O67" i="1"/>
  <c r="L67" i="1"/>
  <c r="R66" i="1"/>
  <c r="O66" i="1"/>
  <c r="L66" i="1"/>
  <c r="R65" i="1"/>
  <c r="O65" i="1"/>
  <c r="L65" i="1"/>
  <c r="S65" i="1" s="1"/>
  <c r="Q64" i="1"/>
  <c r="P64" i="1"/>
  <c r="N64" i="1"/>
  <c r="M64" i="1"/>
  <c r="K64" i="1"/>
  <c r="J64" i="1"/>
  <c r="I64" i="1"/>
  <c r="R63" i="1"/>
  <c r="O63" i="1"/>
  <c r="L63" i="1"/>
  <c r="R62" i="1"/>
  <c r="O62" i="1"/>
  <c r="L62" i="1"/>
  <c r="Q61" i="1"/>
  <c r="P61" i="1"/>
  <c r="N61" i="1"/>
  <c r="M61" i="1"/>
  <c r="K61" i="1"/>
  <c r="J61" i="1"/>
  <c r="I61" i="1"/>
  <c r="R60" i="1"/>
  <c r="O60" i="1"/>
  <c r="L60" i="1"/>
  <c r="R59" i="1"/>
  <c r="O59" i="1"/>
  <c r="L59" i="1"/>
  <c r="R58" i="1"/>
  <c r="O58" i="1"/>
  <c r="L58" i="1"/>
  <c r="S58" i="1" s="1"/>
  <c r="Q57" i="1"/>
  <c r="P57" i="1"/>
  <c r="N57" i="1"/>
  <c r="M57" i="1"/>
  <c r="K57" i="1"/>
  <c r="J57" i="1"/>
  <c r="I57" i="1"/>
  <c r="R56" i="1"/>
  <c r="O56" i="1"/>
  <c r="L56" i="1"/>
  <c r="R54" i="1"/>
  <c r="T54" i="1" s="1"/>
  <c r="R53" i="1"/>
  <c r="O53" i="1"/>
  <c r="L53" i="1"/>
  <c r="Q52" i="1"/>
  <c r="P52" i="1"/>
  <c r="N52" i="1"/>
  <c r="M52" i="1"/>
  <c r="K52" i="1"/>
  <c r="J52" i="1"/>
  <c r="I52" i="1"/>
  <c r="R51" i="1"/>
  <c r="R50" i="1"/>
  <c r="R49" i="1"/>
  <c r="S49" i="1"/>
  <c r="T49" i="1" s="1"/>
  <c r="R48" i="1"/>
  <c r="R47" i="1"/>
  <c r="R46" i="1"/>
  <c r="Q45" i="1"/>
  <c r="P45" i="1"/>
  <c r="N45" i="1"/>
  <c r="M45" i="1"/>
  <c r="L45" i="1"/>
  <c r="K45" i="1"/>
  <c r="J45" i="1"/>
  <c r="I45" i="1"/>
  <c r="R44" i="1"/>
  <c r="O44" i="1"/>
  <c r="L44" i="1"/>
  <c r="S44" i="1" s="1"/>
  <c r="R43" i="1"/>
  <c r="O43" i="1"/>
  <c r="L43" i="1"/>
  <c r="S43" i="1" s="1"/>
  <c r="T43" i="1" s="1"/>
  <c r="R42" i="1"/>
  <c r="O42" i="1"/>
  <c r="L42" i="1"/>
  <c r="Q41" i="1"/>
  <c r="P41" i="1"/>
  <c r="M41" i="1"/>
  <c r="K41" i="1"/>
  <c r="J41" i="1"/>
  <c r="I41" i="1"/>
  <c r="R40" i="1"/>
  <c r="R39" i="1" s="1"/>
  <c r="O40" i="1"/>
  <c r="O39" i="1" s="1"/>
  <c r="L40" i="1"/>
  <c r="L39" i="1" s="1"/>
  <c r="Q39" i="1"/>
  <c r="P39" i="1"/>
  <c r="N39" i="1"/>
  <c r="M39" i="1"/>
  <c r="K39" i="1"/>
  <c r="J39" i="1"/>
  <c r="I39" i="1"/>
  <c r="R38" i="1"/>
  <c r="O38" i="1"/>
  <c r="L38" i="1"/>
  <c r="R37" i="1"/>
  <c r="O37" i="1"/>
  <c r="L37" i="1"/>
  <c r="S37" i="1" s="1"/>
  <c r="R36" i="1"/>
  <c r="O36" i="1"/>
  <c r="L36" i="1"/>
  <c r="Q35" i="1"/>
  <c r="P35" i="1"/>
  <c r="N35" i="1"/>
  <c r="M35" i="1"/>
  <c r="K35" i="1"/>
  <c r="J35" i="1"/>
  <c r="I35" i="1"/>
  <c r="R34" i="1"/>
  <c r="R33" i="1" s="1"/>
  <c r="O34" i="1"/>
  <c r="O33" i="1" s="1"/>
  <c r="L34" i="1"/>
  <c r="L33" i="1" s="1"/>
  <c r="Q33" i="1"/>
  <c r="P33" i="1"/>
  <c r="N33" i="1"/>
  <c r="M33" i="1"/>
  <c r="K33" i="1"/>
  <c r="J33" i="1"/>
  <c r="I33" i="1"/>
  <c r="R32" i="1"/>
  <c r="O32" i="1"/>
  <c r="L32" i="1"/>
  <c r="S32" i="1" s="1"/>
  <c r="R31" i="1"/>
  <c r="O31" i="1"/>
  <c r="L31" i="1"/>
  <c r="R30" i="1"/>
  <c r="O30" i="1"/>
  <c r="L30" i="1"/>
  <c r="Q29" i="1"/>
  <c r="P29" i="1"/>
  <c r="N29" i="1"/>
  <c r="M29" i="1"/>
  <c r="K29" i="1"/>
  <c r="J29" i="1"/>
  <c r="I29" i="1"/>
  <c r="R28" i="1"/>
  <c r="O28" i="1"/>
  <c r="L28" i="1"/>
  <c r="R27" i="1"/>
  <c r="O27" i="1"/>
  <c r="L27" i="1"/>
  <c r="Q26" i="1"/>
  <c r="P26" i="1"/>
  <c r="N26" i="1"/>
  <c r="M26" i="1"/>
  <c r="K26" i="1"/>
  <c r="J26" i="1"/>
  <c r="R25" i="1"/>
  <c r="O25" i="1"/>
  <c r="R23" i="1"/>
  <c r="O23" i="1"/>
  <c r="L23" i="1"/>
  <c r="R22" i="1"/>
  <c r="O22" i="1"/>
  <c r="L22" i="1"/>
  <c r="R21" i="1"/>
  <c r="O21" i="1"/>
  <c r="R20" i="1"/>
  <c r="O20" i="1"/>
  <c r="L20" i="1"/>
  <c r="Q19" i="1"/>
  <c r="P19" i="1"/>
  <c r="N19" i="1"/>
  <c r="M19" i="1"/>
  <c r="K19" i="1"/>
  <c r="J19" i="1"/>
  <c r="I19" i="1"/>
  <c r="R18" i="1"/>
  <c r="R17" i="1" s="1"/>
  <c r="O18" i="1"/>
  <c r="O17" i="1" s="1"/>
  <c r="L18" i="1"/>
  <c r="S18" i="1" s="1"/>
  <c r="Q17" i="1"/>
  <c r="P17" i="1"/>
  <c r="N17" i="1"/>
  <c r="M17" i="1"/>
  <c r="K17" i="1"/>
  <c r="J17" i="1"/>
  <c r="I17" i="1"/>
  <c r="R100" i="1" l="1"/>
  <c r="P103" i="1"/>
  <c r="S83" i="1"/>
  <c r="N96" i="1"/>
  <c r="Q80" i="1"/>
  <c r="R57" i="1"/>
  <c r="S59" i="1"/>
  <c r="S60" i="1"/>
  <c r="S57" i="1" s="1"/>
  <c r="S22" i="1"/>
  <c r="T22" i="1" s="1"/>
  <c r="S23" i="1"/>
  <c r="T23" i="1" s="1"/>
  <c r="S99" i="1"/>
  <c r="S90" i="1"/>
  <c r="R29" i="1"/>
  <c r="R26" i="1"/>
  <c r="L26" i="1"/>
  <c r="O19" i="1"/>
  <c r="R35" i="1"/>
  <c r="O29" i="1"/>
  <c r="S108" i="1"/>
  <c r="S84" i="1"/>
  <c r="M96" i="1"/>
  <c r="S102" i="1"/>
  <c r="S109" i="1"/>
  <c r="L111" i="1"/>
  <c r="S106" i="1"/>
  <c r="R41" i="1"/>
  <c r="S46" i="1"/>
  <c r="T46" i="1" s="1"/>
  <c r="S56" i="1"/>
  <c r="T56" i="1" s="1"/>
  <c r="R52" i="1"/>
  <c r="S86" i="1"/>
  <c r="N111" i="1"/>
  <c r="S107" i="1"/>
  <c r="S47" i="1"/>
  <c r="T47" i="1" s="1"/>
  <c r="S62" i="1"/>
  <c r="T62" i="1" s="1"/>
  <c r="P111" i="1"/>
  <c r="R113" i="1" s="1"/>
  <c r="S20" i="1"/>
  <c r="T20" i="1" s="1"/>
  <c r="S76" i="1"/>
  <c r="T76" i="1" s="1"/>
  <c r="S94" i="1"/>
  <c r="S92" i="1"/>
  <c r="R19" i="1"/>
  <c r="S31" i="1"/>
  <c r="T31" i="1" s="1"/>
  <c r="S91" i="1"/>
  <c r="M98" i="1"/>
  <c r="M111" i="1" s="1"/>
  <c r="O113" i="1" s="1"/>
  <c r="S21" i="1"/>
  <c r="T21" i="1" s="1"/>
  <c r="S42" i="1"/>
  <c r="T42" i="1" s="1"/>
  <c r="L52" i="1"/>
  <c r="R61" i="1"/>
  <c r="S105" i="1"/>
  <c r="O35" i="1"/>
  <c r="S40" i="1"/>
  <c r="S39" i="1" s="1"/>
  <c r="S67" i="1"/>
  <c r="T67" i="1" s="1"/>
  <c r="S77" i="1"/>
  <c r="T77" i="1" s="1"/>
  <c r="R98" i="1"/>
  <c r="S27" i="1"/>
  <c r="S26" i="1" s="1"/>
  <c r="O57" i="1"/>
  <c r="R82" i="1"/>
  <c r="O26" i="1"/>
  <c r="S34" i="1"/>
  <c r="O74" i="1"/>
  <c r="L29" i="1"/>
  <c r="O64" i="1"/>
  <c r="L35" i="1"/>
  <c r="L57" i="1"/>
  <c r="S100" i="1"/>
  <c r="S25" i="1"/>
  <c r="T25" i="1" s="1"/>
  <c r="S30" i="1"/>
  <c r="R45" i="1"/>
  <c r="O52" i="1"/>
  <c r="R74" i="1"/>
  <c r="Q96" i="1"/>
  <c r="I80" i="1"/>
  <c r="L19" i="1"/>
  <c r="S69" i="1"/>
  <c r="T69" i="1" s="1"/>
  <c r="S75" i="1"/>
  <c r="S104" i="1"/>
  <c r="J80" i="1"/>
  <c r="S38" i="1"/>
  <c r="T38" i="1" s="1"/>
  <c r="O41" i="1"/>
  <c r="S63" i="1"/>
  <c r="R64" i="1"/>
  <c r="O82" i="1"/>
  <c r="S89" i="1"/>
  <c r="O103" i="1"/>
  <c r="K80" i="1"/>
  <c r="S48" i="1"/>
  <c r="T48" i="1" s="1"/>
  <c r="O61" i="1"/>
  <c r="S66" i="1"/>
  <c r="T66" i="1" s="1"/>
  <c r="P96" i="1"/>
  <c r="R88" i="1"/>
  <c r="S93" i="1"/>
  <c r="R103" i="1"/>
  <c r="T71" i="1"/>
  <c r="S70" i="1"/>
  <c r="T59" i="1"/>
  <c r="T37" i="1"/>
  <c r="T65" i="1"/>
  <c r="S17" i="1"/>
  <c r="T18" i="1"/>
  <c r="T17" i="1" s="1"/>
  <c r="T50" i="1"/>
  <c r="T73" i="1"/>
  <c r="T58" i="1"/>
  <c r="T78" i="1"/>
  <c r="T44" i="1"/>
  <c r="L61" i="1"/>
  <c r="S36" i="1"/>
  <c r="L17" i="1"/>
  <c r="R70" i="1"/>
  <c r="O98" i="1"/>
  <c r="S53" i="1"/>
  <c r="L88" i="1"/>
  <c r="L96" i="1" s="1"/>
  <c r="L74" i="1"/>
  <c r="L64" i="1"/>
  <c r="T32" i="1"/>
  <c r="S68" i="1"/>
  <c r="O88" i="1"/>
  <c r="S28" i="1"/>
  <c r="L41" i="1"/>
  <c r="S54" i="1"/>
  <c r="O45" i="1"/>
  <c r="O96" i="1" l="1"/>
  <c r="S74" i="1"/>
  <c r="T60" i="1"/>
  <c r="S98" i="1"/>
  <c r="S82" i="1"/>
  <c r="T75" i="1"/>
  <c r="S88" i="1"/>
  <c r="S61" i="1"/>
  <c r="T45" i="1"/>
  <c r="S41" i="1"/>
  <c r="R111" i="1"/>
  <c r="S103" i="1"/>
  <c r="S111" i="1" s="1"/>
  <c r="S45" i="1"/>
  <c r="R80" i="1"/>
  <c r="O111" i="1"/>
  <c r="R96" i="1"/>
  <c r="S19" i="1"/>
  <c r="T27" i="1"/>
  <c r="S29" i="1"/>
  <c r="T30" i="1"/>
  <c r="T29" i="1" s="1"/>
  <c r="T19" i="1"/>
  <c r="S64" i="1"/>
  <c r="T40" i="1"/>
  <c r="T39" i="1" s="1"/>
  <c r="T63" i="1"/>
  <c r="T61" i="1" s="1"/>
  <c r="S113" i="1"/>
  <c r="S33" i="1"/>
  <c r="T34" i="1"/>
  <c r="T33" i="1" s="1"/>
  <c r="T41" i="1"/>
  <c r="T28" i="1"/>
  <c r="T26" i="1" s="1"/>
  <c r="T70" i="1"/>
  <c r="S52" i="1"/>
  <c r="T53" i="1"/>
  <c r="T74" i="1"/>
  <c r="T57" i="1"/>
  <c r="T68" i="1"/>
  <c r="T64" i="1" s="1"/>
  <c r="L80" i="1"/>
  <c r="S35" i="1"/>
  <c r="T36" i="1"/>
  <c r="T35" i="1" s="1"/>
  <c r="S96" i="1" l="1"/>
  <c r="S112" i="1" s="1"/>
  <c r="T52" i="1"/>
  <c r="T80" i="1" s="1"/>
  <c r="S80" i="1"/>
</calcChain>
</file>

<file path=xl/sharedStrings.xml><?xml version="1.0" encoding="utf-8"?>
<sst xmlns="http://schemas.openxmlformats.org/spreadsheetml/2006/main" count="360" uniqueCount="171">
  <si>
    <t xml:space="preserve">PROVINSI JAWA BARAT </t>
  </si>
  <si>
    <t>LAPORAN  PERTANGGUNGJAWABAN BENDAHARA PENGELUARAN PEMBANTU</t>
  </si>
  <si>
    <t>(Administratif)</t>
  </si>
  <si>
    <t>SKPD</t>
  </si>
  <si>
    <t>: Pusat Pengelolaan Pendapatan Daerah Wilayah Kabupaten Tasikmalaya</t>
  </si>
  <si>
    <t>KUASA PENGGUNA ANGGARAN</t>
  </si>
  <si>
    <t>BENDAHARA PENGELUARAN PEMBANTU</t>
  </si>
  <si>
    <t>: YADIN HERYADIN, S.E</t>
  </si>
  <si>
    <t>TAHUN ANGGARAN</t>
  </si>
  <si>
    <t>: 2026</t>
  </si>
  <si>
    <t>BULAN</t>
  </si>
  <si>
    <t xml:space="preserve">                                </t>
  </si>
  <si>
    <t>Kode Rekening</t>
  </si>
  <si>
    <t>U r a i a n</t>
  </si>
  <si>
    <t>JUMLAH</t>
  </si>
  <si>
    <t>SPJ -LS GAJI</t>
  </si>
  <si>
    <t>SPJ -LS BARANG  &amp; JASA</t>
  </si>
  <si>
    <t>SPJ - UP / GU / TU</t>
  </si>
  <si>
    <t xml:space="preserve">Jumlah </t>
  </si>
  <si>
    <t xml:space="preserve">Sisa </t>
  </si>
  <si>
    <t>ANGGARAN</t>
  </si>
  <si>
    <t xml:space="preserve">s/d Bulan Lalu </t>
  </si>
  <si>
    <t>Bulan ini</t>
  </si>
  <si>
    <t>s/d Bulan Ini</t>
  </si>
  <si>
    <t>(LS/UP/GU/TU)</t>
  </si>
  <si>
    <t>Anggaran</t>
  </si>
  <si>
    <t>s/d Bulan ini</t>
  </si>
  <si>
    <t>6 = (4+5)</t>
  </si>
  <si>
    <t>9 = (7+8)</t>
  </si>
  <si>
    <t>13 = (10+11)</t>
  </si>
  <si>
    <t>14=(6+9+13)</t>
  </si>
  <si>
    <t>15=(3-14)</t>
  </si>
  <si>
    <t>5.02.01.1.06.01</t>
  </si>
  <si>
    <t>Penyediaan Komponen Instalasi Listrik/Penerangan bagunan Kantor</t>
  </si>
  <si>
    <t>02</t>
  </si>
  <si>
    <t>01</t>
  </si>
  <si>
    <t>0031</t>
  </si>
  <si>
    <t>Belanja Alat/Bahan untuk Kegiatan Kantor-Alat Listrik</t>
  </si>
  <si>
    <t>5.02.01.1.06.02</t>
  </si>
  <si>
    <t>Penyediaan Peralatan dan Perlengkapan Kantor</t>
  </si>
  <si>
    <t>0009</t>
  </si>
  <si>
    <t>Belanja Bahan-Isi Tabung Pemadam Kebakaran</t>
  </si>
  <si>
    <t>0024</t>
  </si>
  <si>
    <t>Belanja Alat/Bahan untuk Kegiatan Kantor-Alat Tulis Kantor</t>
  </si>
  <si>
    <t>0025</t>
  </si>
  <si>
    <t>Belanja Alat/Bahan untuk Kegiatan Kantor- Kertas dan Cover</t>
  </si>
  <si>
    <t>0027</t>
  </si>
  <si>
    <t>Belanja Alat/Bahan untuk Kegiatan Kantor-Benda Pos</t>
  </si>
  <si>
    <t>0030</t>
  </si>
  <si>
    <t>Belanja Alat/Bahan untuk Kegiatan Kantor-Perabot Kantor</t>
  </si>
  <si>
    <t>5.02.01.1.06.05</t>
  </si>
  <si>
    <t>Penyediaan Barang Cetakan dan Penggandaan</t>
  </si>
  <si>
    <t>0026</t>
  </si>
  <si>
    <t>Belanja Alat/Bahan untuk Kegiatan Kantor- Bahan Cetak</t>
  </si>
  <si>
    <t>5.02.01.1.06.09</t>
  </si>
  <si>
    <t>Penyelenggaraaan Rapat Koordinasi dan Konsultasi SKPD</t>
  </si>
  <si>
    <t>0043</t>
  </si>
  <si>
    <t>Belanja Natura dan Pakan-Natura</t>
  </si>
  <si>
    <t>0052</t>
  </si>
  <si>
    <t>Belanja Makanan dan Minuman Rapat</t>
  </si>
  <si>
    <t>04</t>
  </si>
  <si>
    <t>0001</t>
  </si>
  <si>
    <t>Belanja Perjalanan Dinas Biasa</t>
  </si>
  <si>
    <t>5.02.01.1.07.06</t>
  </si>
  <si>
    <t>Pengadaan Peralatan dan Mesin Lainnya</t>
  </si>
  <si>
    <t>05</t>
  </si>
  <si>
    <t>0004</t>
  </si>
  <si>
    <t>Belanja Modal Alat Penyimpan Perlengkapan Kantor</t>
  </si>
  <si>
    <t>5.02.01.1.07.09</t>
  </si>
  <si>
    <t>Pengadaan Gedung Kantor atau Bangunan Lainnya</t>
  </si>
  <si>
    <t>08</t>
  </si>
  <si>
    <t>0005</t>
  </si>
  <si>
    <t>Belanja Jasa Konsultansi Perencanaan Arsitektur-Jasa Arsitektur Lainnya</t>
  </si>
  <si>
    <t>03</t>
  </si>
  <si>
    <t>Belanja Modal Bangunan Gedung Kantor</t>
  </si>
  <si>
    <t>Belanja Modal Pagar</t>
  </si>
  <si>
    <t>5.02.01.1.07.10</t>
  </si>
  <si>
    <t>Pengadaan Sarana dan Prasarana Gedung Kantor atau Bangunan Lainnya</t>
  </si>
  <si>
    <t>Belanja Modal Mebel</t>
  </si>
  <si>
    <t>5.02.01.1.08.02</t>
  </si>
  <si>
    <t>Penyediaan Jasa Komunikasi, Sumber Daya Air dan Listrik</t>
  </si>
  <si>
    <t>0060</t>
  </si>
  <si>
    <t>Belanja Tagihan Air</t>
  </si>
  <si>
    <t>0061</t>
  </si>
  <si>
    <t>Belanja Tagihan Listrik</t>
  </si>
  <si>
    <t>0063</t>
  </si>
  <si>
    <t xml:space="preserve">Belanja Kawat/Faksimili/Internet/TV Berlangganan </t>
  </si>
  <si>
    <t>5.02.01.1.08.04</t>
  </si>
  <si>
    <t>Penyediaan Jasa Pelayanan Umum Kantor</t>
  </si>
  <si>
    <t>0028</t>
  </si>
  <si>
    <t>Belanja Jasa Tenaga Pelayanan Umum</t>
  </si>
  <si>
    <t>Belanja Jasa Tenaga Kebersihan</t>
  </si>
  <si>
    <t>Belanja Jasa Tenaga Keamanan</t>
  </si>
  <si>
    <t>0033</t>
  </si>
  <si>
    <t>Belanja Jasa Tenaga Supir</t>
  </si>
  <si>
    <t>0037</t>
  </si>
  <si>
    <t>Belanja Sewa Kendaraan Bermotor Angkutan Barang</t>
  </si>
  <si>
    <t>Belanja Sewa Bangunan Gedung Kantor</t>
  </si>
  <si>
    <t>5.02.01.1.09.02</t>
  </si>
  <si>
    <t>Penyediaan Jasa Pemeliharaan, Biaya Pemeliharaan, Pajak dan Perizinan Kendaraan Dinas Operasional atau Lapangan</t>
  </si>
  <si>
    <t>Belanja Bahan-Bahan Bakar dan Pelumas</t>
  </si>
  <si>
    <t>0067</t>
  </si>
  <si>
    <t>Belanja Pembayaran Pajak, Bea, dan Perizinan</t>
  </si>
  <si>
    <t>0036</t>
  </si>
  <si>
    <t>Belanja Pemeliharaan Alat Angkutan-Alat Angkutan Darat Bermotor-Kendaraan Bermotor Penumpang</t>
  </si>
  <si>
    <t>5.02.01.1.09.06</t>
  </si>
  <si>
    <t>Pemeliharaan Peralatan dan Mesin Lainnya</t>
  </si>
  <si>
    <t>0121</t>
  </si>
  <si>
    <t xml:space="preserve">Belanja Pemeliharaan Alat Kantor dan Rumah Tangga-Alat Rumah Tangga-Alat Pendingin </t>
  </si>
  <si>
    <t>0411</t>
  </si>
  <si>
    <t xml:space="preserve">Belanja Pemeliharaan Komputer-Peralatan Komputer-Peralatan Komputer Lainnya </t>
  </si>
  <si>
    <t>5.02.01.1.09.10</t>
  </si>
  <si>
    <t>Sub Kegiatan Pemeliharaan/Rehabilitasi Sarana dan Prasarana Gedung Kantor atau Bangunan Lainnya</t>
  </si>
  <si>
    <t>Belanja Jasa Konsultansi Perencanaan Arsitektur- Jasa Nasihat dan Pra Desain Arsitektural</t>
  </si>
  <si>
    <t>5.02.04.1.01.03</t>
  </si>
  <si>
    <t>Sub Kegiatan Penyuluhan dan Penyebarluasan Kebijakan Pajak Daerah</t>
  </si>
  <si>
    <t>Belanja Makan dan Minuman Rapat</t>
  </si>
  <si>
    <t>0003</t>
  </si>
  <si>
    <t>Honorarium Narasumber atau Pembahas, Moderator, PembawaAcara, dan Panitia</t>
  </si>
  <si>
    <t>0055</t>
  </si>
  <si>
    <t xml:space="preserve">Belanja Jasa Iklan/Reklame, Film, dan Pemotretan </t>
  </si>
  <si>
    <t>5.02.04.1.01.05</t>
  </si>
  <si>
    <t>Sub Kegiatan Pendataan dan Pendaftaran Objek Pajak Daerah</t>
  </si>
  <si>
    <t xml:space="preserve">Honorarium Tim Pelaksana Kegiatan dan Sekretariat Tim Pelaksana Kegiatan </t>
  </si>
  <si>
    <t>5.02.04.1.01.10</t>
  </si>
  <si>
    <t>Penagihan Pajak Daerah</t>
  </si>
  <si>
    <t xml:space="preserve">	Honorarium Tim Pelaksana Kegiatan dan Sekretariat Tim Pelaksana Kegiatan</t>
  </si>
  <si>
    <t>Belanja Sewa Peralatan Bantu</t>
  </si>
  <si>
    <t>Penerimaan</t>
  </si>
  <si>
    <t xml:space="preserve"> - SPJ- (LS+UP/GU/TU)</t>
  </si>
  <si>
    <t xml:space="preserve">    a. UP</t>
  </si>
  <si>
    <t xml:space="preserve">    b. GU</t>
  </si>
  <si>
    <t xml:space="preserve">    c. TU</t>
  </si>
  <si>
    <t xml:space="preserve">    d. LS</t>
  </si>
  <si>
    <t xml:space="preserve">    e. KKPD</t>
  </si>
  <si>
    <t xml:space="preserve"> - Potongan Pajak</t>
  </si>
  <si>
    <t xml:space="preserve">    a. PPN</t>
  </si>
  <si>
    <t xml:space="preserve">    c. PPh.- 21</t>
  </si>
  <si>
    <t xml:space="preserve">    d. PPh.- 22</t>
  </si>
  <si>
    <t xml:space="preserve">    e. PPh.- 23</t>
  </si>
  <si>
    <t xml:space="preserve">    b. PPh. Psl 4 (Ayat 2)</t>
  </si>
  <si>
    <t xml:space="preserve"> - Panjar</t>
  </si>
  <si>
    <t xml:space="preserve"> - Lainnya</t>
  </si>
  <si>
    <t>Jumlah Penerimaan</t>
  </si>
  <si>
    <t>Pengeluaran</t>
  </si>
  <si>
    <t xml:space="preserve">                                                           </t>
  </si>
  <si>
    <t xml:space="preserve"> - Penyetoran Pajak</t>
  </si>
  <si>
    <t xml:space="preserve"> - Lainnya Pengembalian Uang (GU)</t>
  </si>
  <si>
    <t>Jumlah Pengeluaran</t>
  </si>
  <si>
    <t>Saldo Kas</t>
  </si>
  <si>
    <t>Mengetahui / Menyetujui :</t>
  </si>
  <si>
    <t>BENDAHARA PENGELUARAN ,</t>
  </si>
  <si>
    <t>DENI RAMDANI, SE, MM</t>
  </si>
  <si>
    <t>JUNAEDI SUKARYADI, S.E., M.M</t>
  </si>
  <si>
    <t>YADIN HERYADIN, SE</t>
  </si>
  <si>
    <t>Pembina</t>
  </si>
  <si>
    <t xml:space="preserve">Penata </t>
  </si>
  <si>
    <t>Penata Tingkat I</t>
  </si>
  <si>
    <t>NIP. 19770913 200901 1 008</t>
  </si>
  <si>
    <t>NIP. 19770728 200604 1 004</t>
  </si>
  <si>
    <t>NIP. 19711128 200801 1 001</t>
  </si>
  <si>
    <t>Belanja Alat/Bahan untuk Kegiatan Kantor- Bahan Komputer</t>
  </si>
  <si>
    <t>0029</t>
  </si>
  <si>
    <t>Belanja Pemeliharaan Alat Angkutan-Alat Angkutan Darat Bermotor-Kendaraan Bermotor Beroda Dua</t>
  </si>
  <si>
    <t>0038</t>
  </si>
  <si>
    <t>Belanja Pemeliharaan Bangunan Gedung- Bangunan Gedung Tempat Kerja-Bangunan Gedung Kantor</t>
  </si>
  <si>
    <t>: JUNI 2026</t>
  </si>
  <si>
    <t>WAWAN SUDRAJAT, S.Sos., M.Si</t>
  </si>
  <si>
    <t>NIP. 19730606 200312 1 008</t>
  </si>
  <si>
    <t>Sukaraja, 30 Juni 2026</t>
  </si>
  <si>
    <t>: WAWAN SUDRAJAT, S.Sos., M.Si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</si>
</sst>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_);_(* \(#,##0\);_(* &quot;-&quot;??_);_(@_)"/>
    <numFmt numFmtId="166" formatCode="_(* #,##0.00_);_(* \(#,##0.00\);_(* &quot;-&quot;??_);_(@_)"/>
  </numFmts>
  <fonts count="2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9"/>
      <color rgb="FF000000"/>
      <name val="Century Gothic"/>
      <family val="2"/>
    </font>
    <font>
      <sz val="10"/>
      <color rgb="FF000000"/>
      <name val="Tahoma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Calibri"/>
      <family val="2"/>
    </font>
    <font>
      <sz val="10"/>
      <color theme="1"/>
      <name val="Calibri"/>
      <family val="2"/>
    </font>
    <font>
      <b/>
      <sz val="9"/>
      <color theme="1"/>
      <name val="Arial"/>
      <family val="2"/>
    </font>
    <font>
      <b/>
      <sz val="9"/>
      <color rgb="FF2AB648"/>
      <name val="Arial"/>
      <family val="2"/>
    </font>
    <font>
      <sz val="10"/>
      <color theme="0"/>
      <name val="Calibri"/>
      <family val="2"/>
    </font>
    <font>
      <b/>
      <sz val="10"/>
      <color theme="0"/>
      <name val="Calibri"/>
      <family val="2"/>
    </font>
    <font>
      <sz val="9"/>
      <color theme="0"/>
      <name val="Arial"/>
      <family val="2"/>
    </font>
    <font>
      <sz val="9"/>
      <color theme="0"/>
      <name val="Calibri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</font>
    <font>
      <sz val="12"/>
      <color theme="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5" fillId="0" borderId="0" xfId="0" applyFont="1"/>
    <xf numFmtId="164" fontId="5" fillId="0" borderId="0" xfId="0" applyNumberFormat="1" applyFont="1"/>
    <xf numFmtId="0" fontId="6" fillId="2" borderId="4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 vertical="top"/>
    </xf>
    <xf numFmtId="0" fontId="6" fillId="2" borderId="10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 vertical="top"/>
    </xf>
    <xf numFmtId="0" fontId="6" fillId="2" borderId="15" xfId="0" applyFont="1" applyFill="1" applyBorder="1" applyAlignment="1">
      <alignment horizontal="center"/>
    </xf>
    <xf numFmtId="164" fontId="6" fillId="2" borderId="15" xfId="0" applyNumberFormat="1" applyFont="1" applyFill="1" applyBorder="1" applyAlignment="1">
      <alignment vertical="center"/>
    </xf>
    <xf numFmtId="0" fontId="10" fillId="3" borderId="16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10" fillId="3" borderId="17" xfId="0" quotePrefix="1" applyFont="1" applyFill="1" applyBorder="1" applyAlignment="1">
      <alignment horizontal="center" vertical="center" wrapText="1"/>
    </xf>
    <xf numFmtId="0" fontId="10" fillId="3" borderId="18" xfId="0" quotePrefix="1" applyFont="1" applyFill="1" applyBorder="1" applyAlignment="1">
      <alignment horizontal="center" vertical="center" wrapText="1"/>
    </xf>
    <xf numFmtId="164" fontId="5" fillId="0" borderId="15" xfId="0" applyNumberFormat="1" applyFont="1" applyBorder="1" applyAlignment="1">
      <alignment vertical="center"/>
    </xf>
    <xf numFmtId="166" fontId="5" fillId="0" borderId="15" xfId="0" applyNumberFormat="1" applyFont="1" applyBorder="1"/>
    <xf numFmtId="165" fontId="6" fillId="3" borderId="15" xfId="0" applyNumberFormat="1" applyFont="1" applyFill="1" applyBorder="1" applyAlignment="1">
      <alignment vertical="center"/>
    </xf>
    <xf numFmtId="165" fontId="5" fillId="0" borderId="15" xfId="0" applyNumberFormat="1" applyFont="1" applyBorder="1"/>
    <xf numFmtId="165" fontId="5" fillId="3" borderId="15" xfId="0" applyNumberFormat="1" applyFont="1" applyFill="1" applyBorder="1" applyAlignment="1">
      <alignment vertical="center"/>
    </xf>
    <xf numFmtId="165" fontId="5" fillId="3" borderId="15" xfId="0" applyNumberFormat="1" applyFont="1" applyFill="1" applyBorder="1"/>
    <xf numFmtId="0" fontId="5" fillId="0" borderId="15" xfId="0" applyFont="1" applyBorder="1" applyAlignment="1">
      <alignment horizontal="center" vertical="center"/>
    </xf>
    <xf numFmtId="0" fontId="5" fillId="0" borderId="15" xfId="0" quotePrefix="1" applyFont="1" applyBorder="1" applyAlignment="1">
      <alignment horizontal="center" vertical="center"/>
    </xf>
    <xf numFmtId="164" fontId="5" fillId="4" borderId="15" xfId="0" applyNumberFormat="1" applyFont="1" applyFill="1" applyBorder="1" applyAlignment="1">
      <alignment vertical="center"/>
    </xf>
    <xf numFmtId="166" fontId="5" fillId="0" borderId="15" xfId="0" applyNumberFormat="1" applyFont="1" applyBorder="1" applyAlignment="1">
      <alignment vertical="center"/>
    </xf>
    <xf numFmtId="165" fontId="5" fillId="0" borderId="15" xfId="0" applyNumberFormat="1" applyFont="1" applyBorder="1" applyAlignment="1">
      <alignment vertical="center"/>
    </xf>
    <xf numFmtId="165" fontId="6" fillId="0" borderId="15" xfId="0" applyNumberFormat="1" applyFont="1" applyBorder="1"/>
    <xf numFmtId="0" fontId="11" fillId="0" borderId="1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165" fontId="13" fillId="3" borderId="15" xfId="0" applyNumberFormat="1" applyFont="1" applyFill="1" applyBorder="1"/>
    <xf numFmtId="166" fontId="13" fillId="0" borderId="15" xfId="0" applyNumberFormat="1" applyFont="1" applyBorder="1"/>
    <xf numFmtId="165" fontId="13" fillId="0" borderId="15" xfId="0" applyNumberFormat="1" applyFont="1" applyBorder="1"/>
    <xf numFmtId="166" fontId="4" fillId="0" borderId="23" xfId="0" applyNumberFormat="1" applyFont="1" applyBorder="1"/>
    <xf numFmtId="0" fontId="12" fillId="0" borderId="24" xfId="0" applyFont="1" applyBorder="1" applyAlignment="1">
      <alignment horizontal="left"/>
    </xf>
    <xf numFmtId="165" fontId="9" fillId="0" borderId="24" xfId="0" applyNumberFormat="1" applyFont="1" applyBorder="1"/>
    <xf numFmtId="166" fontId="4" fillId="0" borderId="1" xfId="0" applyNumberFormat="1" applyFont="1" applyBorder="1"/>
    <xf numFmtId="166" fontId="4" fillId="0" borderId="2" xfId="0" applyNumberFormat="1" applyFont="1" applyBorder="1"/>
    <xf numFmtId="0" fontId="12" fillId="3" borderId="1" xfId="0" applyFont="1" applyFill="1" applyBorder="1"/>
    <xf numFmtId="166" fontId="15" fillId="3" borderId="7" xfId="0" applyNumberFormat="1" applyFont="1" applyFill="1" applyBorder="1"/>
    <xf numFmtId="166" fontId="15" fillId="3" borderId="15" xfId="0" applyNumberFormat="1" applyFont="1" applyFill="1" applyBorder="1"/>
    <xf numFmtId="165" fontId="15" fillId="3" borderId="15" xfId="0" applyNumberFormat="1" applyFont="1" applyFill="1" applyBorder="1"/>
    <xf numFmtId="166" fontId="15" fillId="3" borderId="4" xfId="0" applyNumberFormat="1" applyFont="1" applyFill="1" applyBorder="1"/>
    <xf numFmtId="166" fontId="4" fillId="0" borderId="8" xfId="0" applyNumberFormat="1" applyFont="1" applyBorder="1"/>
    <xf numFmtId="166" fontId="4" fillId="0" borderId="0" xfId="0" applyNumberFormat="1" applyFont="1"/>
    <xf numFmtId="0" fontId="16" fillId="0" borderId="1" xfId="0" applyFont="1" applyBorder="1"/>
    <xf numFmtId="0" fontId="12" fillId="0" borderId="6" xfId="0" applyFont="1" applyBorder="1"/>
    <xf numFmtId="166" fontId="15" fillId="0" borderId="7" xfId="0" applyNumberFormat="1" applyFont="1" applyBorder="1"/>
    <xf numFmtId="166" fontId="15" fillId="0" borderId="15" xfId="0" applyNumberFormat="1" applyFont="1" applyBorder="1" applyAlignment="1">
      <alignment vertical="center"/>
    </xf>
    <xf numFmtId="165" fontId="9" fillId="0" borderId="15" xfId="0" applyNumberFormat="1" applyFont="1" applyBorder="1"/>
    <xf numFmtId="166" fontId="15" fillId="0" borderId="10" xfId="0" applyNumberFormat="1" applyFont="1" applyBorder="1"/>
    <xf numFmtId="166" fontId="15" fillId="0" borderId="0" xfId="0" applyNumberFormat="1" applyFont="1"/>
    <xf numFmtId="0" fontId="12" fillId="0" borderId="5" xfId="0" applyFont="1" applyBorder="1"/>
    <xf numFmtId="166" fontId="15" fillId="0" borderId="15" xfId="0" applyNumberFormat="1" applyFont="1" applyBorder="1"/>
    <xf numFmtId="165" fontId="15" fillId="0" borderId="15" xfId="0" applyNumberFormat="1" applyFont="1" applyBorder="1"/>
    <xf numFmtId="0" fontId="12" fillId="0" borderId="11" xfId="0" applyFont="1" applyBorder="1"/>
    <xf numFmtId="166" fontId="14" fillId="0" borderId="8" xfId="0" applyNumberFormat="1" applyFont="1" applyBorder="1"/>
    <xf numFmtId="166" fontId="14" fillId="0" borderId="0" xfId="0" applyNumberFormat="1" applyFont="1"/>
    <xf numFmtId="0" fontId="16" fillId="3" borderId="5" xfId="0" applyFont="1" applyFill="1" applyBorder="1"/>
    <xf numFmtId="0" fontId="16" fillId="3" borderId="6" xfId="0" applyFont="1" applyFill="1" applyBorder="1"/>
    <xf numFmtId="166" fontId="9" fillId="3" borderId="7" xfId="0" applyNumberFormat="1" applyFont="1" applyFill="1" applyBorder="1"/>
    <xf numFmtId="166" fontId="9" fillId="3" borderId="15" xfId="0" applyNumberFormat="1" applyFont="1" applyFill="1" applyBorder="1"/>
    <xf numFmtId="165" fontId="9" fillId="3" borderId="15" xfId="0" applyNumberFormat="1" applyFont="1" applyFill="1" applyBorder="1"/>
    <xf numFmtId="166" fontId="9" fillId="0" borderId="10" xfId="0" applyNumberFormat="1" applyFont="1" applyBorder="1"/>
    <xf numFmtId="0" fontId="2" fillId="0" borderId="0" xfId="0" applyFont="1"/>
    <xf numFmtId="165" fontId="15" fillId="0" borderId="10" xfId="0" applyNumberFormat="1" applyFont="1" applyBorder="1"/>
    <xf numFmtId="0" fontId="12" fillId="0" borderId="1" xfId="0" applyFont="1" applyBorder="1"/>
    <xf numFmtId="0" fontId="12" fillId="0" borderId="2" xfId="0" applyFont="1" applyBorder="1"/>
    <xf numFmtId="166" fontId="15" fillId="0" borderId="3" xfId="0" applyNumberFormat="1" applyFont="1" applyBorder="1"/>
    <xf numFmtId="0" fontId="12" fillId="0" borderId="0" xfId="0" applyFont="1"/>
    <xf numFmtId="166" fontId="15" fillId="0" borderId="9" xfId="0" applyNumberFormat="1" applyFont="1" applyBorder="1"/>
    <xf numFmtId="166" fontId="15" fillId="0" borderId="14" xfId="0" applyNumberFormat="1" applyFont="1" applyBorder="1"/>
    <xf numFmtId="165" fontId="15" fillId="0" borderId="14" xfId="0" applyNumberFormat="1" applyFont="1" applyBorder="1"/>
    <xf numFmtId="165" fontId="9" fillId="0" borderId="14" xfId="0" applyNumberFormat="1" applyFont="1" applyBorder="1"/>
    <xf numFmtId="0" fontId="16" fillId="3" borderId="22" xfId="0" applyFont="1" applyFill="1" applyBorder="1"/>
    <xf numFmtId="0" fontId="16" fillId="3" borderId="23" xfId="0" applyFont="1" applyFill="1" applyBorder="1"/>
    <xf numFmtId="166" fontId="15" fillId="3" borderId="24" xfId="0" applyNumberFormat="1" applyFont="1" applyFill="1" applyBorder="1"/>
    <xf numFmtId="166" fontId="15" fillId="3" borderId="25" xfId="0" applyNumberFormat="1" applyFont="1" applyFill="1" applyBorder="1"/>
    <xf numFmtId="165" fontId="15" fillId="3" borderId="25" xfId="0" applyNumberFormat="1" applyFont="1" applyFill="1" applyBorder="1"/>
    <xf numFmtId="0" fontId="12" fillId="3" borderId="5" xfId="0" applyFont="1" applyFill="1" applyBorder="1"/>
    <xf numFmtId="0" fontId="12" fillId="3" borderId="6" xfId="0" applyFont="1" applyFill="1" applyBorder="1"/>
    <xf numFmtId="166" fontId="15" fillId="3" borderId="15" xfId="0" applyNumberFormat="1" applyFont="1" applyFill="1" applyBorder="1" applyAlignment="1">
      <alignment vertical="center"/>
    </xf>
    <xf numFmtId="0" fontId="1" fillId="0" borderId="0" xfId="0" applyFont="1"/>
    <xf numFmtId="165" fontId="15" fillId="3" borderId="10" xfId="0" applyNumberFormat="1" applyFont="1" applyFill="1" applyBorder="1"/>
    <xf numFmtId="0" fontId="12" fillId="3" borderId="23" xfId="0" applyFont="1" applyFill="1" applyBorder="1"/>
    <xf numFmtId="166" fontId="4" fillId="0" borderId="11" xfId="0" applyNumberFormat="1" applyFont="1" applyBorder="1"/>
    <xf numFmtId="166" fontId="4" fillId="0" borderId="12" xfId="0" applyNumberFormat="1" applyFont="1" applyBorder="1"/>
    <xf numFmtId="165" fontId="8" fillId="0" borderId="15" xfId="0" applyNumberFormat="1" applyFont="1" applyBorder="1"/>
    <xf numFmtId="0" fontId="17" fillId="0" borderId="0" xfId="0" applyFont="1"/>
    <xf numFmtId="165" fontId="18" fillId="0" borderId="0" xfId="0" applyNumberFormat="1" applyFont="1"/>
    <xf numFmtId="166" fontId="19" fillId="0" borderId="0" xfId="0" applyNumberFormat="1" applyFont="1"/>
    <xf numFmtId="166" fontId="18" fillId="0" borderId="0" xfId="0" applyNumberFormat="1" applyFont="1"/>
    <xf numFmtId="165" fontId="20" fillId="0" borderId="0" xfId="0" applyNumberFormat="1" applyFont="1"/>
    <xf numFmtId="165" fontId="21" fillId="0" borderId="0" xfId="0" applyNumberFormat="1" applyFont="1"/>
    <xf numFmtId="0" fontId="22" fillId="0" borderId="0" xfId="0" applyFont="1"/>
    <xf numFmtId="0" fontId="4" fillId="0" borderId="0" xfId="0" applyFont="1"/>
    <xf numFmtId="165" fontId="4" fillId="0" borderId="0" xfId="0" applyNumberFormat="1" applyFont="1"/>
    <xf numFmtId="0" fontId="23" fillId="0" borderId="0" xfId="0" applyFont="1" applyAlignment="1">
      <alignment vertical="top"/>
    </xf>
    <xf numFmtId="0" fontId="3" fillId="0" borderId="0" xfId="0" applyFont="1"/>
    <xf numFmtId="0" fontId="22" fillId="0" borderId="0" xfId="0" applyFont="1" applyAlignment="1">
      <alignment horizontal="left"/>
    </xf>
    <xf numFmtId="0" fontId="24" fillId="0" borderId="0" xfId="0" applyFont="1"/>
    <xf numFmtId="0" fontId="25" fillId="0" borderId="0" xfId="0" applyFont="1"/>
    <xf numFmtId="0" fontId="26" fillId="0" borderId="0" xfId="0" applyFont="1" applyAlignment="1">
      <alignment horizontal="left"/>
    </xf>
    <xf numFmtId="165" fontId="25" fillId="0" borderId="0" xfId="0" applyNumberFormat="1" applyFont="1"/>
    <xf numFmtId="164" fontId="24" fillId="0" borderId="0" xfId="0" applyNumberFormat="1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right"/>
    </xf>
    <xf numFmtId="0" fontId="6" fillId="2" borderId="4" xfId="0" applyFont="1" applyFill="1" applyBorder="1" applyAlignment="1">
      <alignment horizontal="center" vertical="center"/>
    </xf>
    <xf numFmtId="0" fontId="7" fillId="0" borderId="14" xfId="0" applyFont="1" applyBorder="1"/>
    <xf numFmtId="0" fontId="6" fillId="2" borderId="5" xfId="0" applyFont="1" applyFill="1" applyBorder="1" applyAlignment="1">
      <alignment horizontal="center"/>
    </xf>
    <xf numFmtId="0" fontId="7" fillId="0" borderId="6" xfId="0" applyFont="1" applyBorder="1"/>
    <xf numFmtId="0" fontId="7" fillId="0" borderId="7" xfId="0" applyFont="1" applyBorder="1"/>
    <xf numFmtId="0" fontId="6" fillId="2" borderId="1" xfId="0" applyFont="1" applyFill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1" xfId="0" applyFont="1" applyBorder="1"/>
    <xf numFmtId="0" fontId="7" fillId="0" borderId="12" xfId="0" applyFont="1" applyBorder="1"/>
    <xf numFmtId="0" fontId="7" fillId="0" borderId="13" xfId="0" applyFont="1" applyBorder="1"/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left" wrapText="1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/>
    </xf>
    <xf numFmtId="0" fontId="14" fillId="0" borderId="22" xfId="0" applyFont="1" applyBorder="1" applyAlignment="1">
      <alignment horizontal="right"/>
    </xf>
    <xf numFmtId="0" fontId="7" fillId="0" borderId="23" xfId="0" applyFont="1" applyBorder="1"/>
    <xf numFmtId="0" fontId="2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Google%20Drive/Dokumen%20Kantor/BENDAHARA%20PENGELUARAN/LAPBUL/LAPBUL%202021/April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RITA ACARA  TRIWULAN"/>
      <sheetName val="BUKU BANK"/>
      <sheetName val="BUKU PAJAK"/>
      <sheetName val="BUKU PANJAR "/>
      <sheetName val="Maret"/>
      <sheetName val="April"/>
      <sheetName val="LPJ"/>
      <sheetName val="REG. ADMIN (6)"/>
      <sheetName val="REKAP PAJAK SPJ (3)"/>
      <sheetName val="RKP BLN ADM (4)"/>
      <sheetName val="kartu kendali"/>
      <sheetName val="KENDALI (2)"/>
      <sheetName val="KENDALI (3)"/>
      <sheetName val="kendali"/>
      <sheetName val="REG. ADMIN (5)"/>
      <sheetName val="REKAP PAJAK SPJ (2)"/>
      <sheetName val="RKP BLN ADM (3)"/>
      <sheetName val="Sheet1"/>
      <sheetName val="rekap pajak admin gu"/>
      <sheetName val="Sheet2"/>
    </sheetNames>
    <sheetDataSet>
      <sheetData sheetId="0"/>
      <sheetData sheetId="1"/>
      <sheetData sheetId="2"/>
      <sheetData sheetId="3">
        <row r="15">
          <cell r="F15">
            <v>0</v>
          </cell>
          <cell r="G15">
            <v>0</v>
          </cell>
        </row>
      </sheetData>
      <sheetData sheetId="4"/>
      <sheetData sheetId="5"/>
      <sheetData sheetId="6">
        <row r="22">
          <cell r="Q22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DF4E4-5006-4FD6-9DC1-61CE42728DAD}">
  <sheetPr>
    <tabColor rgb="FFFF0000"/>
    <pageSetUpPr fitToPage="1"/>
  </sheetPr>
  <dimension ref="A1:T996"/>
  <sheetViews>
    <sheetView tabSelected="1" zoomScale="115" zoomScaleNormal="115" zoomScaleSheetLayoutView="85" workbookViewId="0">
      <pane ySplit="15" topLeftCell="A85" activePane="bottomLeft" state="frozen"/>
      <selection pane="bottomLeft" activeCell="I89" sqref="I89"/>
    </sheetView>
  </sheetViews>
  <sheetFormatPr defaultColWidth="14.42578125" defaultRowHeight="15" customHeight="1" x14ac:dyDescent="0.25"/>
  <cols>
    <col min="1" max="1" width="3.5703125" customWidth="1"/>
    <col min="2" max="2" width="4.28515625" customWidth="1"/>
    <col min="3" max="4" width="4.7109375" customWidth="1"/>
    <col min="5" max="5" width="4.140625" customWidth="1"/>
    <col min="6" max="6" width="5" customWidth="1"/>
    <col min="7" max="7" width="11.7109375" customWidth="1"/>
    <col min="8" max="8" width="30.140625" customWidth="1"/>
    <col min="9" max="9" width="17.42578125" customWidth="1"/>
    <col min="10" max="10" width="9.7109375" customWidth="1"/>
    <col min="11" max="11" width="9" customWidth="1"/>
    <col min="12" max="12" width="10.5703125" customWidth="1"/>
    <col min="13" max="13" width="17.85546875" customWidth="1"/>
    <col min="14" max="14" width="22.7109375" customWidth="1"/>
    <col min="15" max="15" width="15.85546875" customWidth="1"/>
    <col min="16" max="16" width="16" customWidth="1"/>
    <col min="17" max="17" width="17" customWidth="1"/>
    <col min="18" max="18" width="15.7109375" customWidth="1"/>
    <col min="19" max="19" width="15.85546875" customWidth="1"/>
    <col min="20" max="20" width="16.28515625" customWidth="1"/>
  </cols>
  <sheetData>
    <row r="1" spans="1:20" ht="12.75" customHeight="1" x14ac:dyDescent="0.25">
      <c r="A1" s="109" t="s">
        <v>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</row>
    <row r="2" spans="1:20" ht="12.75" customHeight="1" x14ac:dyDescent="0.25">
      <c r="A2" s="109" t="s">
        <v>1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</row>
    <row r="3" spans="1:20" ht="12.75" hidden="1" customHeight="1" x14ac:dyDescent="0.25">
      <c r="A3" s="109" t="s">
        <v>0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</row>
    <row r="4" spans="1:20" ht="12.75" hidden="1" customHeight="1" x14ac:dyDescent="0.25">
      <c r="A4" s="109" t="s">
        <v>1</v>
      </c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</row>
    <row r="5" spans="1:20" ht="12.75" customHeight="1" x14ac:dyDescent="0.25">
      <c r="A5" s="109" t="s">
        <v>2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</row>
    <row r="6" spans="1:20" ht="12.75" customHeight="1" x14ac:dyDescent="0.25">
      <c r="A6" s="111"/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</row>
    <row r="7" spans="1:20" ht="12.75" customHeight="1" x14ac:dyDescent="0.3">
      <c r="A7" s="1" t="s">
        <v>3</v>
      </c>
      <c r="B7" s="1"/>
      <c r="C7" s="1"/>
      <c r="D7" s="1"/>
      <c r="E7" s="1"/>
      <c r="F7" s="1"/>
      <c r="G7" s="1"/>
      <c r="H7" s="1"/>
      <c r="I7" s="1" t="s">
        <v>4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2.75" customHeight="1" x14ac:dyDescent="0.3">
      <c r="A8" s="1" t="s">
        <v>5</v>
      </c>
      <c r="B8" s="1"/>
      <c r="C8" s="1"/>
      <c r="D8" s="1"/>
      <c r="E8" s="1"/>
      <c r="F8" s="1"/>
      <c r="G8" s="1"/>
      <c r="H8" s="1"/>
      <c r="I8" s="1" t="s">
        <v>170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2.75" customHeight="1" x14ac:dyDescent="0.3">
      <c r="A9" s="1" t="s">
        <v>6</v>
      </c>
      <c r="B9" s="1"/>
      <c r="C9" s="1"/>
      <c r="D9" s="1"/>
      <c r="E9" s="1"/>
      <c r="F9" s="1"/>
      <c r="G9" s="1"/>
      <c r="H9" s="1"/>
      <c r="I9" s="1" t="s">
        <v>7</v>
      </c>
      <c r="J9" s="1"/>
      <c r="K9" s="1"/>
      <c r="L9" s="1"/>
      <c r="M9" s="1"/>
      <c r="N9" s="2"/>
      <c r="O9" s="2"/>
      <c r="P9" s="2"/>
      <c r="Q9" s="1"/>
      <c r="R9" s="1"/>
      <c r="S9" s="1"/>
      <c r="T9" s="1"/>
    </row>
    <row r="10" spans="1:20" ht="12.75" customHeight="1" x14ac:dyDescent="0.3">
      <c r="A10" s="1" t="s">
        <v>8</v>
      </c>
      <c r="B10" s="1"/>
      <c r="C10" s="1"/>
      <c r="D10" s="1"/>
      <c r="E10" s="1"/>
      <c r="F10" s="1"/>
      <c r="G10" s="1"/>
      <c r="H10" s="1"/>
      <c r="I10" s="1" t="s">
        <v>9</v>
      </c>
      <c r="J10" s="1"/>
      <c r="K10" s="1"/>
      <c r="L10" s="1"/>
      <c r="M10" s="1"/>
      <c r="N10" s="2"/>
      <c r="O10" s="1"/>
      <c r="P10" s="1"/>
      <c r="Q10" s="1"/>
      <c r="R10" s="1"/>
      <c r="S10" s="1"/>
      <c r="T10" s="1"/>
    </row>
    <row r="11" spans="1:20" ht="12.75" customHeight="1" x14ac:dyDescent="0.3">
      <c r="A11" s="1" t="s">
        <v>10</v>
      </c>
      <c r="B11" s="1"/>
      <c r="C11" s="1"/>
      <c r="D11" s="1"/>
      <c r="E11" s="1"/>
      <c r="F11" s="1"/>
      <c r="G11" s="1"/>
      <c r="H11" s="1"/>
      <c r="I11" s="1" t="s">
        <v>166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4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 t="s">
        <v>11</v>
      </c>
      <c r="N12" s="1"/>
      <c r="O12" s="1"/>
      <c r="P12" s="1"/>
      <c r="Q12" s="1"/>
      <c r="R12" s="1"/>
      <c r="S12" s="1"/>
      <c r="T12" s="1"/>
    </row>
    <row r="13" spans="1:20" ht="12.75" customHeight="1" x14ac:dyDescent="0.25">
      <c r="A13" s="117" t="s">
        <v>12</v>
      </c>
      <c r="B13" s="118"/>
      <c r="C13" s="118"/>
      <c r="D13" s="118"/>
      <c r="E13" s="118"/>
      <c r="F13" s="119"/>
      <c r="G13" s="117" t="s">
        <v>13</v>
      </c>
      <c r="H13" s="119"/>
      <c r="I13" s="3" t="s">
        <v>14</v>
      </c>
      <c r="J13" s="114" t="s">
        <v>15</v>
      </c>
      <c r="K13" s="115"/>
      <c r="L13" s="116"/>
      <c r="M13" s="114" t="s">
        <v>16</v>
      </c>
      <c r="N13" s="115"/>
      <c r="O13" s="116"/>
      <c r="P13" s="114" t="s">
        <v>17</v>
      </c>
      <c r="Q13" s="115"/>
      <c r="R13" s="116"/>
      <c r="S13" s="4" t="s">
        <v>18</v>
      </c>
      <c r="T13" s="4" t="s">
        <v>19</v>
      </c>
    </row>
    <row r="14" spans="1:20" ht="12.75" customHeight="1" x14ac:dyDescent="0.25">
      <c r="A14" s="120"/>
      <c r="B14" s="110"/>
      <c r="C14" s="110"/>
      <c r="D14" s="110"/>
      <c r="E14" s="110"/>
      <c r="F14" s="121"/>
      <c r="G14" s="120"/>
      <c r="H14" s="121"/>
      <c r="I14" s="5" t="s">
        <v>20</v>
      </c>
      <c r="J14" s="125" t="s">
        <v>21</v>
      </c>
      <c r="K14" s="112" t="s">
        <v>22</v>
      </c>
      <c r="L14" s="125" t="s">
        <v>23</v>
      </c>
      <c r="M14" s="125" t="s">
        <v>21</v>
      </c>
      <c r="N14" s="112" t="s">
        <v>22</v>
      </c>
      <c r="O14" s="125" t="s">
        <v>23</v>
      </c>
      <c r="P14" s="125" t="s">
        <v>21</v>
      </c>
      <c r="Q14" s="112" t="s">
        <v>22</v>
      </c>
      <c r="R14" s="112" t="s">
        <v>23</v>
      </c>
      <c r="S14" s="6" t="s">
        <v>24</v>
      </c>
      <c r="T14" s="6" t="s">
        <v>25</v>
      </c>
    </row>
    <row r="15" spans="1:20" ht="12.75" customHeight="1" x14ac:dyDescent="0.25">
      <c r="A15" s="122"/>
      <c r="B15" s="123"/>
      <c r="C15" s="123"/>
      <c r="D15" s="123"/>
      <c r="E15" s="123"/>
      <c r="F15" s="124"/>
      <c r="G15" s="122"/>
      <c r="H15" s="124"/>
      <c r="I15" s="7"/>
      <c r="J15" s="113"/>
      <c r="K15" s="113"/>
      <c r="L15" s="113"/>
      <c r="M15" s="113"/>
      <c r="N15" s="113"/>
      <c r="O15" s="113"/>
      <c r="P15" s="113"/>
      <c r="Q15" s="113"/>
      <c r="R15" s="113"/>
      <c r="S15" s="6" t="s">
        <v>26</v>
      </c>
      <c r="T15" s="6"/>
    </row>
    <row r="16" spans="1:20" ht="12.75" customHeight="1" x14ac:dyDescent="0.25">
      <c r="A16" s="114">
        <v>1</v>
      </c>
      <c r="B16" s="115"/>
      <c r="C16" s="115"/>
      <c r="D16" s="115"/>
      <c r="E16" s="115"/>
      <c r="F16" s="116"/>
      <c r="G16" s="114">
        <v>2</v>
      </c>
      <c r="H16" s="116"/>
      <c r="I16" s="8">
        <v>3</v>
      </c>
      <c r="J16" s="8">
        <v>4</v>
      </c>
      <c r="K16" s="8">
        <v>5</v>
      </c>
      <c r="L16" s="8" t="s">
        <v>27</v>
      </c>
      <c r="M16" s="8">
        <v>7</v>
      </c>
      <c r="N16" s="8">
        <v>8</v>
      </c>
      <c r="O16" s="8" t="s">
        <v>28</v>
      </c>
      <c r="P16" s="8">
        <v>10</v>
      </c>
      <c r="Q16" s="8">
        <v>11</v>
      </c>
      <c r="R16" s="8" t="s">
        <v>29</v>
      </c>
      <c r="S16" s="8" t="s">
        <v>30</v>
      </c>
      <c r="T16" s="8" t="s">
        <v>31</v>
      </c>
    </row>
    <row r="17" spans="1:20" ht="54" customHeight="1" x14ac:dyDescent="0.25">
      <c r="A17" s="126" t="s">
        <v>32</v>
      </c>
      <c r="B17" s="115"/>
      <c r="C17" s="115"/>
      <c r="D17" s="115"/>
      <c r="E17" s="115"/>
      <c r="F17" s="116"/>
      <c r="G17" s="127" t="s">
        <v>33</v>
      </c>
      <c r="H17" s="115"/>
      <c r="I17" s="9">
        <f t="shared" ref="I17:T17" si="0">+I18</f>
        <v>11588000</v>
      </c>
      <c r="J17" s="9">
        <f t="shared" si="0"/>
        <v>0</v>
      </c>
      <c r="K17" s="9">
        <f t="shared" si="0"/>
        <v>0</v>
      </c>
      <c r="L17" s="9">
        <f t="shared" si="0"/>
        <v>0</v>
      </c>
      <c r="M17" s="9">
        <f t="shared" si="0"/>
        <v>0</v>
      </c>
      <c r="N17" s="9">
        <f t="shared" si="0"/>
        <v>0</v>
      </c>
      <c r="O17" s="9">
        <f t="shared" si="0"/>
        <v>0</v>
      </c>
      <c r="P17" s="9">
        <f t="shared" si="0"/>
        <v>0</v>
      </c>
      <c r="Q17" s="9">
        <f t="shared" si="0"/>
        <v>0</v>
      </c>
      <c r="R17" s="9">
        <f t="shared" si="0"/>
        <v>0</v>
      </c>
      <c r="S17" s="9">
        <f t="shared" si="0"/>
        <v>0</v>
      </c>
      <c r="T17" s="9">
        <f t="shared" si="0"/>
        <v>11588000</v>
      </c>
    </row>
    <row r="18" spans="1:20" ht="26.25" customHeight="1" x14ac:dyDescent="0.3">
      <c r="A18" s="10">
        <v>5</v>
      </c>
      <c r="B18" s="11">
        <v>1</v>
      </c>
      <c r="C18" s="11" t="s">
        <v>34</v>
      </c>
      <c r="D18" s="11" t="s">
        <v>35</v>
      </c>
      <c r="E18" s="12" t="s">
        <v>35</v>
      </c>
      <c r="F18" s="13" t="s">
        <v>36</v>
      </c>
      <c r="G18" s="128" t="s">
        <v>37</v>
      </c>
      <c r="H18" s="116"/>
      <c r="I18" s="14">
        <v>11588000</v>
      </c>
      <c r="J18" s="15">
        <v>0</v>
      </c>
      <c r="K18" s="15">
        <v>0</v>
      </c>
      <c r="L18" s="16">
        <f>+J18+K18</f>
        <v>0</v>
      </c>
      <c r="M18" s="17"/>
      <c r="N18" s="17"/>
      <c r="O18" s="18">
        <f>+M18+N18</f>
        <v>0</v>
      </c>
      <c r="P18" s="17">
        <v>0</v>
      </c>
      <c r="Q18" s="17"/>
      <c r="R18" s="18">
        <f>+P18+Q18</f>
        <v>0</v>
      </c>
      <c r="S18" s="18">
        <f>+L18+O18+R18</f>
        <v>0</v>
      </c>
      <c r="T18" s="19">
        <f>+I18-S18</f>
        <v>11588000</v>
      </c>
    </row>
    <row r="19" spans="1:20" ht="35.25" customHeight="1" x14ac:dyDescent="0.25">
      <c r="A19" s="126" t="s">
        <v>38</v>
      </c>
      <c r="B19" s="115"/>
      <c r="C19" s="115"/>
      <c r="D19" s="115"/>
      <c r="E19" s="115"/>
      <c r="F19" s="116"/>
      <c r="G19" s="127" t="s">
        <v>39</v>
      </c>
      <c r="H19" s="115"/>
      <c r="I19" s="9">
        <f>SUM(I20:I25)</f>
        <v>84702795</v>
      </c>
      <c r="J19" s="9">
        <f t="shared" ref="J19:T19" si="1">SUM(J20:J25)</f>
        <v>0</v>
      </c>
      <c r="K19" s="9">
        <f t="shared" si="1"/>
        <v>0</v>
      </c>
      <c r="L19" s="9">
        <f t="shared" si="1"/>
        <v>0</v>
      </c>
      <c r="M19" s="9">
        <f t="shared" si="1"/>
        <v>0</v>
      </c>
      <c r="N19" s="9">
        <f t="shared" si="1"/>
        <v>0</v>
      </c>
      <c r="O19" s="9">
        <f t="shared" si="1"/>
        <v>0</v>
      </c>
      <c r="P19" s="9">
        <f t="shared" si="1"/>
        <v>42748630</v>
      </c>
      <c r="Q19" s="9">
        <f t="shared" si="1"/>
        <v>0</v>
      </c>
      <c r="R19" s="9">
        <f t="shared" si="1"/>
        <v>42748630</v>
      </c>
      <c r="S19" s="9">
        <f t="shared" si="1"/>
        <v>42748630</v>
      </c>
      <c r="T19" s="9">
        <f t="shared" si="1"/>
        <v>41954165</v>
      </c>
    </row>
    <row r="20" spans="1:20" ht="27.75" customHeight="1" x14ac:dyDescent="0.3">
      <c r="A20" s="20">
        <v>5</v>
      </c>
      <c r="B20" s="20">
        <v>1</v>
      </c>
      <c r="C20" s="21" t="s">
        <v>34</v>
      </c>
      <c r="D20" s="21" t="s">
        <v>35</v>
      </c>
      <c r="E20" s="21" t="s">
        <v>35</v>
      </c>
      <c r="F20" s="21" t="s">
        <v>40</v>
      </c>
      <c r="G20" s="129" t="s">
        <v>41</v>
      </c>
      <c r="H20" s="115"/>
      <c r="I20" s="22">
        <v>10296000</v>
      </c>
      <c r="J20" s="23">
        <v>0</v>
      </c>
      <c r="K20" s="23">
        <v>0</v>
      </c>
      <c r="L20" s="16">
        <f>+J20+K20</f>
        <v>0</v>
      </c>
      <c r="M20" s="24">
        <v>0</v>
      </c>
      <c r="N20" s="17">
        <v>0</v>
      </c>
      <c r="O20" s="18">
        <f t="shared" ref="O20:O25" si="2">+M20+N20</f>
        <v>0</v>
      </c>
      <c r="P20" s="17">
        <v>0</v>
      </c>
      <c r="Q20" s="17"/>
      <c r="R20" s="18">
        <f t="shared" ref="R20:R25" si="3">+P20+Q20</f>
        <v>0</v>
      </c>
      <c r="S20" s="18">
        <f t="shared" ref="S20:S25" si="4">+L20+O20+R20</f>
        <v>0</v>
      </c>
      <c r="T20" s="19">
        <f t="shared" ref="T20:T25" si="5">+I20-S20</f>
        <v>10296000</v>
      </c>
    </row>
    <row r="21" spans="1:20" ht="27.75" customHeight="1" x14ac:dyDescent="0.3">
      <c r="A21" s="20">
        <v>5</v>
      </c>
      <c r="B21" s="20">
        <v>1</v>
      </c>
      <c r="C21" s="21" t="s">
        <v>34</v>
      </c>
      <c r="D21" s="21" t="s">
        <v>35</v>
      </c>
      <c r="E21" s="21" t="s">
        <v>35</v>
      </c>
      <c r="F21" s="21" t="s">
        <v>42</v>
      </c>
      <c r="G21" s="129" t="s">
        <v>43</v>
      </c>
      <c r="H21" s="115"/>
      <c r="I21" s="22">
        <v>16156355</v>
      </c>
      <c r="J21" s="23"/>
      <c r="K21" s="23"/>
      <c r="L21" s="16"/>
      <c r="M21" s="24"/>
      <c r="N21" s="23">
        <v>0</v>
      </c>
      <c r="O21" s="18">
        <f t="shared" si="2"/>
        <v>0</v>
      </c>
      <c r="P21" s="17">
        <v>13121350</v>
      </c>
      <c r="Q21" s="17">
        <v>0</v>
      </c>
      <c r="R21" s="18">
        <f t="shared" si="3"/>
        <v>13121350</v>
      </c>
      <c r="S21" s="18">
        <f t="shared" si="4"/>
        <v>13121350</v>
      </c>
      <c r="T21" s="19">
        <f t="shared" si="5"/>
        <v>3035005</v>
      </c>
    </row>
    <row r="22" spans="1:20" ht="24" customHeight="1" x14ac:dyDescent="0.3">
      <c r="A22" s="20">
        <v>5</v>
      </c>
      <c r="B22" s="20">
        <v>1</v>
      </c>
      <c r="C22" s="21" t="s">
        <v>34</v>
      </c>
      <c r="D22" s="21" t="s">
        <v>35</v>
      </c>
      <c r="E22" s="21" t="s">
        <v>35</v>
      </c>
      <c r="F22" s="21" t="s">
        <v>44</v>
      </c>
      <c r="G22" s="129" t="s">
        <v>45</v>
      </c>
      <c r="H22" s="115"/>
      <c r="I22" s="22">
        <v>15983640</v>
      </c>
      <c r="J22" s="15"/>
      <c r="K22" s="15"/>
      <c r="L22" s="18">
        <f>+J22+K22</f>
        <v>0</v>
      </c>
      <c r="M22" s="17"/>
      <c r="N22" s="15"/>
      <c r="O22" s="18">
        <f t="shared" si="2"/>
        <v>0</v>
      </c>
      <c r="P22" s="17">
        <v>0</v>
      </c>
      <c r="Q22" s="17">
        <v>0</v>
      </c>
      <c r="R22" s="18">
        <f t="shared" si="3"/>
        <v>0</v>
      </c>
      <c r="S22" s="18">
        <f t="shared" si="4"/>
        <v>0</v>
      </c>
      <c r="T22" s="19">
        <f t="shared" si="5"/>
        <v>15983640</v>
      </c>
    </row>
    <row r="23" spans="1:20" ht="24" customHeight="1" x14ac:dyDescent="0.3">
      <c r="A23" s="20">
        <v>5</v>
      </c>
      <c r="B23" s="20">
        <v>1</v>
      </c>
      <c r="C23" s="21" t="s">
        <v>34</v>
      </c>
      <c r="D23" s="21" t="s">
        <v>35</v>
      </c>
      <c r="E23" s="21" t="s">
        <v>35</v>
      </c>
      <c r="F23" s="21" t="s">
        <v>46</v>
      </c>
      <c r="G23" s="129" t="s">
        <v>47</v>
      </c>
      <c r="H23" s="115"/>
      <c r="I23" s="22">
        <v>1000000</v>
      </c>
      <c r="J23" s="15"/>
      <c r="K23" s="15"/>
      <c r="L23" s="18">
        <f>+J23+K23</f>
        <v>0</v>
      </c>
      <c r="M23" s="17"/>
      <c r="N23" s="15"/>
      <c r="O23" s="18">
        <f t="shared" si="2"/>
        <v>0</v>
      </c>
      <c r="P23" s="17">
        <v>0</v>
      </c>
      <c r="Q23" s="17">
        <v>0</v>
      </c>
      <c r="R23" s="18">
        <f t="shared" si="3"/>
        <v>0</v>
      </c>
      <c r="S23" s="18">
        <f t="shared" si="4"/>
        <v>0</v>
      </c>
      <c r="T23" s="19">
        <f t="shared" si="5"/>
        <v>1000000</v>
      </c>
    </row>
    <row r="24" spans="1:20" ht="24" customHeight="1" x14ac:dyDescent="0.3">
      <c r="A24" s="20">
        <v>5</v>
      </c>
      <c r="B24" s="20">
        <v>1</v>
      </c>
      <c r="C24" s="21" t="s">
        <v>34</v>
      </c>
      <c r="D24" s="21" t="s">
        <v>35</v>
      </c>
      <c r="E24" s="21" t="s">
        <v>35</v>
      </c>
      <c r="F24" s="21" t="s">
        <v>162</v>
      </c>
      <c r="G24" s="129" t="s">
        <v>161</v>
      </c>
      <c r="H24" s="115"/>
      <c r="I24" s="22">
        <v>10319020</v>
      </c>
      <c r="J24" s="15"/>
      <c r="K24" s="15"/>
      <c r="L24" s="16"/>
      <c r="M24" s="17"/>
      <c r="N24" s="15">
        <v>0</v>
      </c>
      <c r="O24" s="18">
        <f t="shared" si="2"/>
        <v>0</v>
      </c>
      <c r="P24" s="17">
        <v>0</v>
      </c>
      <c r="Q24" s="17">
        <v>0</v>
      </c>
      <c r="R24" s="18"/>
      <c r="S24" s="18"/>
      <c r="T24" s="19">
        <f t="shared" ref="T24" si="6">+I24-S24</f>
        <v>10319020</v>
      </c>
    </row>
    <row r="25" spans="1:20" ht="24" customHeight="1" x14ac:dyDescent="0.3">
      <c r="A25" s="20">
        <v>5</v>
      </c>
      <c r="B25" s="20">
        <v>1</v>
      </c>
      <c r="C25" s="21" t="s">
        <v>34</v>
      </c>
      <c r="D25" s="21" t="s">
        <v>35</v>
      </c>
      <c r="E25" s="21" t="s">
        <v>35</v>
      </c>
      <c r="F25" s="21" t="s">
        <v>48</v>
      </c>
      <c r="G25" s="129" t="s">
        <v>49</v>
      </c>
      <c r="H25" s="115"/>
      <c r="I25" s="22">
        <v>30947780</v>
      </c>
      <c r="J25" s="15"/>
      <c r="K25" s="15"/>
      <c r="L25" s="16"/>
      <c r="M25" s="17"/>
      <c r="N25" s="15">
        <v>0</v>
      </c>
      <c r="O25" s="18">
        <f t="shared" si="2"/>
        <v>0</v>
      </c>
      <c r="P25" s="17">
        <v>29627280</v>
      </c>
      <c r="Q25" s="17">
        <v>0</v>
      </c>
      <c r="R25" s="18">
        <f t="shared" si="3"/>
        <v>29627280</v>
      </c>
      <c r="S25" s="18">
        <f t="shared" si="4"/>
        <v>29627280</v>
      </c>
      <c r="T25" s="19">
        <f t="shared" si="5"/>
        <v>1320500</v>
      </c>
    </row>
    <row r="26" spans="1:20" ht="49.5" customHeight="1" x14ac:dyDescent="0.25">
      <c r="A26" s="126" t="s">
        <v>50</v>
      </c>
      <c r="B26" s="115"/>
      <c r="C26" s="115"/>
      <c r="D26" s="115"/>
      <c r="E26" s="115"/>
      <c r="F26" s="116"/>
      <c r="G26" s="127" t="s">
        <v>51</v>
      </c>
      <c r="H26" s="115"/>
      <c r="I26" s="9">
        <f>+I27+I28</f>
        <v>16982000</v>
      </c>
      <c r="J26" s="9">
        <f t="shared" ref="J26:T26" si="7">+J27+J28</f>
        <v>0</v>
      </c>
      <c r="K26" s="9">
        <f t="shared" si="7"/>
        <v>0</v>
      </c>
      <c r="L26" s="9">
        <f t="shared" si="7"/>
        <v>0</v>
      </c>
      <c r="M26" s="9">
        <f t="shared" si="7"/>
        <v>0</v>
      </c>
      <c r="N26" s="9">
        <f t="shared" si="7"/>
        <v>0</v>
      </c>
      <c r="O26" s="9">
        <f t="shared" si="7"/>
        <v>0</v>
      </c>
      <c r="P26" s="9">
        <f t="shared" si="7"/>
        <v>0</v>
      </c>
      <c r="Q26" s="9">
        <f t="shared" si="7"/>
        <v>9000000</v>
      </c>
      <c r="R26" s="9">
        <f t="shared" si="7"/>
        <v>9000000</v>
      </c>
      <c r="S26" s="9">
        <f t="shared" si="7"/>
        <v>9000000</v>
      </c>
      <c r="T26" s="9">
        <f t="shared" si="7"/>
        <v>7982000</v>
      </c>
    </row>
    <row r="27" spans="1:20" ht="26.25" customHeight="1" x14ac:dyDescent="0.3">
      <c r="A27" s="20">
        <v>5</v>
      </c>
      <c r="B27" s="20">
        <v>1</v>
      </c>
      <c r="C27" s="21" t="s">
        <v>34</v>
      </c>
      <c r="D27" s="21" t="s">
        <v>35</v>
      </c>
      <c r="E27" s="21" t="s">
        <v>35</v>
      </c>
      <c r="F27" s="21" t="s">
        <v>42</v>
      </c>
      <c r="G27" s="129" t="s">
        <v>43</v>
      </c>
      <c r="H27" s="115"/>
      <c r="I27" s="22">
        <v>10250000</v>
      </c>
      <c r="J27" s="15">
        <v>0</v>
      </c>
      <c r="K27" s="15">
        <v>0</v>
      </c>
      <c r="L27" s="16">
        <f>+J27+K27</f>
        <v>0</v>
      </c>
      <c r="M27" s="17">
        <v>0</v>
      </c>
      <c r="N27" s="15">
        <v>0</v>
      </c>
      <c r="O27" s="16">
        <f>+M27+N27</f>
        <v>0</v>
      </c>
      <c r="P27" s="17">
        <v>0</v>
      </c>
      <c r="Q27" s="17">
        <v>9000000</v>
      </c>
      <c r="R27" s="18">
        <f>+P27+Q27</f>
        <v>9000000</v>
      </c>
      <c r="S27" s="18">
        <f>+L27+O27+R27</f>
        <v>9000000</v>
      </c>
      <c r="T27" s="19">
        <f>+I27-S27</f>
        <v>1250000</v>
      </c>
    </row>
    <row r="28" spans="1:20" ht="26.25" customHeight="1" x14ac:dyDescent="0.3">
      <c r="A28" s="20">
        <v>5</v>
      </c>
      <c r="B28" s="20">
        <v>1</v>
      </c>
      <c r="C28" s="21" t="s">
        <v>34</v>
      </c>
      <c r="D28" s="21" t="s">
        <v>35</v>
      </c>
      <c r="E28" s="21" t="s">
        <v>35</v>
      </c>
      <c r="F28" s="21" t="s">
        <v>52</v>
      </c>
      <c r="G28" s="129" t="s">
        <v>53</v>
      </c>
      <c r="H28" s="115"/>
      <c r="I28" s="22">
        <v>6732000</v>
      </c>
      <c r="J28" s="15">
        <v>0</v>
      </c>
      <c r="K28" s="15">
        <v>0</v>
      </c>
      <c r="L28" s="16">
        <f>+J28+K28</f>
        <v>0</v>
      </c>
      <c r="M28" s="17">
        <v>0</v>
      </c>
      <c r="N28" s="15">
        <v>0</v>
      </c>
      <c r="O28" s="16">
        <f>+M28+N28</f>
        <v>0</v>
      </c>
      <c r="P28" s="17">
        <v>0</v>
      </c>
      <c r="Q28" s="17"/>
      <c r="R28" s="18">
        <f>+P28+Q28</f>
        <v>0</v>
      </c>
      <c r="S28" s="18">
        <f>+L28+O28+R28</f>
        <v>0</v>
      </c>
      <c r="T28" s="19">
        <f>+I28-S28</f>
        <v>6732000</v>
      </c>
    </row>
    <row r="29" spans="1:20" ht="40.5" customHeight="1" x14ac:dyDescent="0.25">
      <c r="A29" s="126" t="s">
        <v>54</v>
      </c>
      <c r="B29" s="115"/>
      <c r="C29" s="115"/>
      <c r="D29" s="115"/>
      <c r="E29" s="115"/>
      <c r="F29" s="116"/>
      <c r="G29" s="127" t="s">
        <v>55</v>
      </c>
      <c r="H29" s="115"/>
      <c r="I29" s="9">
        <f>I30+I31+I32</f>
        <v>91779500</v>
      </c>
      <c r="J29" s="9">
        <f t="shared" ref="J29:T29" si="8">J30+J31+J32</f>
        <v>0</v>
      </c>
      <c r="K29" s="9">
        <f t="shared" si="8"/>
        <v>0</v>
      </c>
      <c r="L29" s="9">
        <f t="shared" si="8"/>
        <v>0</v>
      </c>
      <c r="M29" s="9">
        <f t="shared" si="8"/>
        <v>0</v>
      </c>
      <c r="N29" s="9">
        <f t="shared" si="8"/>
        <v>0</v>
      </c>
      <c r="O29" s="9">
        <f t="shared" si="8"/>
        <v>0</v>
      </c>
      <c r="P29" s="9">
        <f t="shared" si="8"/>
        <v>32790500</v>
      </c>
      <c r="Q29" s="9">
        <f t="shared" si="8"/>
        <v>6967000</v>
      </c>
      <c r="R29" s="9">
        <f t="shared" si="8"/>
        <v>39757500</v>
      </c>
      <c r="S29" s="9">
        <f t="shared" si="8"/>
        <v>39757500</v>
      </c>
      <c r="T29" s="9">
        <f t="shared" si="8"/>
        <v>52022000</v>
      </c>
    </row>
    <row r="30" spans="1:20" ht="18" customHeight="1" x14ac:dyDescent="0.3">
      <c r="A30" s="20">
        <v>5</v>
      </c>
      <c r="B30" s="20">
        <v>1</v>
      </c>
      <c r="C30" s="21" t="s">
        <v>34</v>
      </c>
      <c r="D30" s="21" t="s">
        <v>35</v>
      </c>
      <c r="E30" s="21" t="s">
        <v>35</v>
      </c>
      <c r="F30" s="21" t="s">
        <v>56</v>
      </c>
      <c r="G30" s="129" t="s">
        <v>57</v>
      </c>
      <c r="H30" s="115"/>
      <c r="I30" s="22">
        <v>14780000</v>
      </c>
      <c r="J30" s="23">
        <v>0</v>
      </c>
      <c r="K30" s="23">
        <v>0</v>
      </c>
      <c r="L30" s="16">
        <f t="shared" ref="L30:L32" si="9">+J30+K30</f>
        <v>0</v>
      </c>
      <c r="M30" s="24">
        <v>0</v>
      </c>
      <c r="N30" s="23">
        <v>0</v>
      </c>
      <c r="O30" s="16">
        <f t="shared" ref="O30:O32" si="10">+M30+N30</f>
        <v>0</v>
      </c>
      <c r="P30" s="17">
        <v>3124500</v>
      </c>
      <c r="Q30" s="17">
        <v>1242000</v>
      </c>
      <c r="R30" s="18">
        <f>+P30+Q30</f>
        <v>4366500</v>
      </c>
      <c r="S30" s="18">
        <f>+L30+O30+R30</f>
        <v>4366500</v>
      </c>
      <c r="T30" s="19">
        <f>+I30-S30</f>
        <v>10413500</v>
      </c>
    </row>
    <row r="31" spans="1:20" ht="18" customHeight="1" x14ac:dyDescent="0.3">
      <c r="A31" s="20">
        <v>5</v>
      </c>
      <c r="B31" s="20">
        <v>1</v>
      </c>
      <c r="C31" s="21" t="s">
        <v>34</v>
      </c>
      <c r="D31" s="21" t="s">
        <v>35</v>
      </c>
      <c r="E31" s="21" t="s">
        <v>35</v>
      </c>
      <c r="F31" s="21" t="s">
        <v>58</v>
      </c>
      <c r="G31" s="129" t="s">
        <v>59</v>
      </c>
      <c r="H31" s="115"/>
      <c r="I31" s="22">
        <v>17000000</v>
      </c>
      <c r="J31" s="23">
        <v>0</v>
      </c>
      <c r="K31" s="23">
        <v>0</v>
      </c>
      <c r="L31" s="16">
        <f t="shared" si="9"/>
        <v>0</v>
      </c>
      <c r="M31" s="24">
        <v>0</v>
      </c>
      <c r="N31" s="23">
        <v>0</v>
      </c>
      <c r="O31" s="16">
        <f t="shared" si="10"/>
        <v>0</v>
      </c>
      <c r="P31" s="17">
        <v>3550000</v>
      </c>
      <c r="Q31" s="17">
        <v>0</v>
      </c>
      <c r="R31" s="18">
        <f>+P31+Q31</f>
        <v>3550000</v>
      </c>
      <c r="S31" s="18">
        <f>+L31+O31+R31</f>
        <v>3550000</v>
      </c>
      <c r="T31" s="19">
        <f>+I31-S31</f>
        <v>13450000</v>
      </c>
    </row>
    <row r="32" spans="1:20" ht="18" customHeight="1" x14ac:dyDescent="0.3">
      <c r="A32" s="20">
        <v>5</v>
      </c>
      <c r="B32" s="20">
        <v>1</v>
      </c>
      <c r="C32" s="21" t="s">
        <v>34</v>
      </c>
      <c r="D32" s="21" t="s">
        <v>60</v>
      </c>
      <c r="E32" s="21" t="s">
        <v>35</v>
      </c>
      <c r="F32" s="21" t="s">
        <v>61</v>
      </c>
      <c r="G32" s="129" t="s">
        <v>62</v>
      </c>
      <c r="H32" s="115"/>
      <c r="I32" s="22">
        <v>59999500</v>
      </c>
      <c r="J32" s="15">
        <v>0</v>
      </c>
      <c r="K32" s="15">
        <v>0</v>
      </c>
      <c r="L32" s="16">
        <f t="shared" si="9"/>
        <v>0</v>
      </c>
      <c r="M32" s="17">
        <v>0</v>
      </c>
      <c r="N32" s="17">
        <v>0</v>
      </c>
      <c r="O32" s="16">
        <f t="shared" si="10"/>
        <v>0</v>
      </c>
      <c r="P32" s="17">
        <v>26116000</v>
      </c>
      <c r="Q32" s="17">
        <v>5725000</v>
      </c>
      <c r="R32" s="18">
        <f>+P32+Q32</f>
        <v>31841000</v>
      </c>
      <c r="S32" s="18">
        <f>+L32+O32+R32</f>
        <v>31841000</v>
      </c>
      <c r="T32" s="19">
        <f>+I32-S32</f>
        <v>28158500</v>
      </c>
    </row>
    <row r="33" spans="1:20" ht="48.75" hidden="1" customHeight="1" x14ac:dyDescent="0.25">
      <c r="A33" s="126" t="s">
        <v>63</v>
      </c>
      <c r="B33" s="115"/>
      <c r="C33" s="115"/>
      <c r="D33" s="115"/>
      <c r="E33" s="115"/>
      <c r="F33" s="116"/>
      <c r="G33" s="127" t="s">
        <v>64</v>
      </c>
      <c r="H33" s="115"/>
      <c r="I33" s="9">
        <f>SUM(I34:I34)</f>
        <v>0</v>
      </c>
      <c r="J33" s="9">
        <f t="shared" ref="J33:T33" si="11">SUM(J34:J34)</f>
        <v>0</v>
      </c>
      <c r="K33" s="9">
        <f t="shared" si="11"/>
        <v>0</v>
      </c>
      <c r="L33" s="9">
        <f t="shared" si="11"/>
        <v>0</v>
      </c>
      <c r="M33" s="9">
        <f t="shared" si="11"/>
        <v>0</v>
      </c>
      <c r="N33" s="9">
        <f t="shared" si="11"/>
        <v>0</v>
      </c>
      <c r="O33" s="9">
        <f t="shared" si="11"/>
        <v>0</v>
      </c>
      <c r="P33" s="9">
        <f t="shared" si="11"/>
        <v>0</v>
      </c>
      <c r="Q33" s="9">
        <f t="shared" si="11"/>
        <v>0</v>
      </c>
      <c r="R33" s="9">
        <f t="shared" si="11"/>
        <v>0</v>
      </c>
      <c r="S33" s="9">
        <f t="shared" si="11"/>
        <v>0</v>
      </c>
      <c r="T33" s="9">
        <f t="shared" si="11"/>
        <v>0</v>
      </c>
    </row>
    <row r="34" spans="1:20" ht="15.75" hidden="1" x14ac:dyDescent="0.3">
      <c r="A34" s="20">
        <v>5</v>
      </c>
      <c r="B34" s="21" t="s">
        <v>34</v>
      </c>
      <c r="C34" s="21" t="s">
        <v>34</v>
      </c>
      <c r="D34" s="21" t="s">
        <v>65</v>
      </c>
      <c r="E34" s="21" t="s">
        <v>35</v>
      </c>
      <c r="F34" s="21" t="s">
        <v>66</v>
      </c>
      <c r="G34" s="130" t="s">
        <v>67</v>
      </c>
      <c r="H34" s="115"/>
      <c r="I34" s="22">
        <v>0</v>
      </c>
      <c r="J34" s="23">
        <v>0</v>
      </c>
      <c r="K34" s="23">
        <v>0</v>
      </c>
      <c r="L34" s="16">
        <f>+J34+K34</f>
        <v>0</v>
      </c>
      <c r="M34" s="17">
        <v>0</v>
      </c>
      <c r="N34" s="24"/>
      <c r="O34" s="18">
        <f>+M34+N34</f>
        <v>0</v>
      </c>
      <c r="P34" s="17"/>
      <c r="Q34" s="17">
        <v>0</v>
      </c>
      <c r="R34" s="18">
        <f>P34+Q34</f>
        <v>0</v>
      </c>
      <c r="S34" s="18">
        <f t="shared" ref="S34" si="12">+L34+O34+R34</f>
        <v>0</v>
      </c>
      <c r="T34" s="19">
        <f t="shared" ref="T34" si="13">+I34-S34</f>
        <v>0</v>
      </c>
    </row>
    <row r="35" spans="1:20" ht="48.75" hidden="1" customHeight="1" x14ac:dyDescent="0.25">
      <c r="A35" s="126" t="s">
        <v>68</v>
      </c>
      <c r="B35" s="115"/>
      <c r="C35" s="115"/>
      <c r="D35" s="115"/>
      <c r="E35" s="115"/>
      <c r="F35" s="116"/>
      <c r="G35" s="127" t="s">
        <v>69</v>
      </c>
      <c r="H35" s="115"/>
      <c r="I35" s="9">
        <f>I36+I38+I37</f>
        <v>0</v>
      </c>
      <c r="J35" s="9">
        <f t="shared" ref="J35:T35" si="14">J36+J38+J37</f>
        <v>0</v>
      </c>
      <c r="K35" s="9">
        <f t="shared" si="14"/>
        <v>0</v>
      </c>
      <c r="L35" s="9">
        <f t="shared" si="14"/>
        <v>0</v>
      </c>
      <c r="M35" s="9">
        <f t="shared" si="14"/>
        <v>0</v>
      </c>
      <c r="N35" s="9">
        <f t="shared" si="14"/>
        <v>0</v>
      </c>
      <c r="O35" s="9">
        <f t="shared" si="14"/>
        <v>0</v>
      </c>
      <c r="P35" s="9">
        <f t="shared" si="14"/>
        <v>0</v>
      </c>
      <c r="Q35" s="9">
        <f t="shared" si="14"/>
        <v>0</v>
      </c>
      <c r="R35" s="9">
        <f t="shared" si="14"/>
        <v>0</v>
      </c>
      <c r="S35" s="9">
        <f t="shared" si="14"/>
        <v>0</v>
      </c>
      <c r="T35" s="9">
        <f t="shared" si="14"/>
        <v>0</v>
      </c>
    </row>
    <row r="36" spans="1:20" ht="15.75" hidden="1" x14ac:dyDescent="0.3">
      <c r="A36" s="20">
        <v>5</v>
      </c>
      <c r="B36" s="20">
        <v>1</v>
      </c>
      <c r="C36" s="21" t="s">
        <v>34</v>
      </c>
      <c r="D36" s="21" t="s">
        <v>34</v>
      </c>
      <c r="E36" s="21" t="s">
        <v>70</v>
      </c>
      <c r="F36" s="21" t="s">
        <v>71</v>
      </c>
      <c r="G36" s="130" t="s">
        <v>72</v>
      </c>
      <c r="H36" s="115"/>
      <c r="I36" s="14">
        <v>0</v>
      </c>
      <c r="J36" s="23">
        <v>0</v>
      </c>
      <c r="K36" s="23">
        <v>0</v>
      </c>
      <c r="L36" s="16">
        <f t="shared" ref="L36:L38" si="15">+J36+K36</f>
        <v>0</v>
      </c>
      <c r="M36" s="24"/>
      <c r="N36" s="24"/>
      <c r="O36" s="18">
        <f t="shared" ref="O36:O38" si="16">+M36+N36</f>
        <v>0</v>
      </c>
      <c r="P36" s="17">
        <v>0</v>
      </c>
      <c r="Q36" s="17">
        <v>0</v>
      </c>
      <c r="R36" s="16">
        <f>+P36+Q36</f>
        <v>0</v>
      </c>
      <c r="S36" s="18">
        <f>+L36+O36+R36</f>
        <v>0</v>
      </c>
      <c r="T36" s="19">
        <f>+I36-S36</f>
        <v>0</v>
      </c>
    </row>
    <row r="37" spans="1:20" ht="15.75" hidden="1" x14ac:dyDescent="0.3">
      <c r="A37" s="20">
        <v>5</v>
      </c>
      <c r="B37" s="20">
        <v>2</v>
      </c>
      <c r="C37" s="21" t="s">
        <v>73</v>
      </c>
      <c r="D37" s="21" t="s">
        <v>35</v>
      </c>
      <c r="E37" s="21" t="s">
        <v>35</v>
      </c>
      <c r="F37" s="21" t="s">
        <v>61</v>
      </c>
      <c r="G37" s="129" t="s">
        <v>74</v>
      </c>
      <c r="H37" s="115"/>
      <c r="I37" s="22">
        <v>0</v>
      </c>
      <c r="J37" s="23">
        <v>0</v>
      </c>
      <c r="K37" s="23">
        <v>0</v>
      </c>
      <c r="L37" s="16">
        <f t="shared" si="15"/>
        <v>0</v>
      </c>
      <c r="M37" s="24"/>
      <c r="N37" s="17">
        <v>0</v>
      </c>
      <c r="O37" s="18">
        <f t="shared" si="16"/>
        <v>0</v>
      </c>
      <c r="P37" s="17">
        <v>0</v>
      </c>
      <c r="Q37" s="17">
        <v>0</v>
      </c>
      <c r="R37" s="16">
        <f>+P37+Q37</f>
        <v>0</v>
      </c>
      <c r="S37" s="18">
        <f>+L37+O37+R37</f>
        <v>0</v>
      </c>
      <c r="T37" s="19">
        <f>+I37-S37</f>
        <v>0</v>
      </c>
    </row>
    <row r="38" spans="1:20" ht="15.75" hidden="1" x14ac:dyDescent="0.3">
      <c r="A38" s="20">
        <v>5</v>
      </c>
      <c r="B38" s="20">
        <v>2</v>
      </c>
      <c r="C38" s="21" t="s">
        <v>73</v>
      </c>
      <c r="D38" s="21" t="s">
        <v>60</v>
      </c>
      <c r="E38" s="21" t="s">
        <v>35</v>
      </c>
      <c r="F38" s="21" t="s">
        <v>66</v>
      </c>
      <c r="G38" s="129" t="s">
        <v>75</v>
      </c>
      <c r="H38" s="115"/>
      <c r="I38" s="14">
        <v>0</v>
      </c>
      <c r="J38" s="23">
        <v>0</v>
      </c>
      <c r="K38" s="23">
        <v>0</v>
      </c>
      <c r="L38" s="16">
        <f t="shared" si="15"/>
        <v>0</v>
      </c>
      <c r="M38" s="24"/>
      <c r="N38" s="24"/>
      <c r="O38" s="18">
        <f t="shared" si="16"/>
        <v>0</v>
      </c>
      <c r="P38" s="17">
        <v>0</v>
      </c>
      <c r="Q38" s="17">
        <v>0</v>
      </c>
      <c r="R38" s="16">
        <f>+P38+Q38</f>
        <v>0</v>
      </c>
      <c r="S38" s="18">
        <f>+L38+O38+R38</f>
        <v>0</v>
      </c>
      <c r="T38" s="19">
        <f>+I38-S38</f>
        <v>0</v>
      </c>
    </row>
    <row r="39" spans="1:20" ht="48.75" customHeight="1" x14ac:dyDescent="0.25">
      <c r="A39" s="126" t="s">
        <v>76</v>
      </c>
      <c r="B39" s="115"/>
      <c r="C39" s="115"/>
      <c r="D39" s="115"/>
      <c r="E39" s="115"/>
      <c r="F39" s="116"/>
      <c r="G39" s="127" t="s">
        <v>77</v>
      </c>
      <c r="H39" s="115"/>
      <c r="I39" s="9">
        <f>I40</f>
        <v>99900000</v>
      </c>
      <c r="J39" s="9">
        <f t="shared" ref="J39:T39" si="17">J40</f>
        <v>0</v>
      </c>
      <c r="K39" s="9">
        <f t="shared" si="17"/>
        <v>0</v>
      </c>
      <c r="L39" s="9">
        <f t="shared" si="17"/>
        <v>0</v>
      </c>
      <c r="M39" s="9">
        <f t="shared" si="17"/>
        <v>0</v>
      </c>
      <c r="N39" s="9">
        <f t="shared" si="17"/>
        <v>0</v>
      </c>
      <c r="O39" s="9">
        <f t="shared" si="17"/>
        <v>0</v>
      </c>
      <c r="P39" s="9">
        <f t="shared" si="17"/>
        <v>0</v>
      </c>
      <c r="Q39" s="9">
        <f t="shared" si="17"/>
        <v>0</v>
      </c>
      <c r="R39" s="9">
        <f t="shared" si="17"/>
        <v>0</v>
      </c>
      <c r="S39" s="9">
        <f t="shared" si="17"/>
        <v>0</v>
      </c>
      <c r="T39" s="9">
        <f t="shared" si="17"/>
        <v>99900000</v>
      </c>
    </row>
    <row r="40" spans="1:20" ht="15.75" x14ac:dyDescent="0.3">
      <c r="A40" s="20">
        <v>5</v>
      </c>
      <c r="B40" s="20">
        <v>2</v>
      </c>
      <c r="C40" s="21" t="s">
        <v>34</v>
      </c>
      <c r="D40" s="21" t="s">
        <v>65</v>
      </c>
      <c r="E40" s="21" t="s">
        <v>34</v>
      </c>
      <c r="F40" s="21" t="s">
        <v>61</v>
      </c>
      <c r="G40" s="129" t="s">
        <v>78</v>
      </c>
      <c r="H40" s="115"/>
      <c r="I40" s="22">
        <v>99900000</v>
      </c>
      <c r="J40" s="23">
        <v>0</v>
      </c>
      <c r="K40" s="23">
        <v>0</v>
      </c>
      <c r="L40" s="16">
        <f>+J40+K40</f>
        <v>0</v>
      </c>
      <c r="M40" s="17">
        <v>0</v>
      </c>
      <c r="N40" s="24"/>
      <c r="O40" s="16">
        <f>+M40+N40</f>
        <v>0</v>
      </c>
      <c r="P40" s="17">
        <v>0</v>
      </c>
      <c r="Q40" s="17">
        <v>0</v>
      </c>
      <c r="R40" s="16">
        <f>+P40+Q40</f>
        <v>0</v>
      </c>
      <c r="S40" s="18">
        <f>+L40+O40+R40</f>
        <v>0</v>
      </c>
      <c r="T40" s="19">
        <f>+I40-S40</f>
        <v>99900000</v>
      </c>
    </row>
    <row r="41" spans="1:20" ht="48.75" customHeight="1" x14ac:dyDescent="0.25">
      <c r="A41" s="126" t="s">
        <v>79</v>
      </c>
      <c r="B41" s="115"/>
      <c r="C41" s="115"/>
      <c r="D41" s="115"/>
      <c r="E41" s="115"/>
      <c r="F41" s="116"/>
      <c r="G41" s="127" t="s">
        <v>80</v>
      </c>
      <c r="H41" s="115"/>
      <c r="I41" s="9">
        <f t="shared" ref="I41:T41" si="18">+I42+I43+I44</f>
        <v>9704000</v>
      </c>
      <c r="J41" s="9">
        <f t="shared" si="18"/>
        <v>0</v>
      </c>
      <c r="K41" s="9">
        <f t="shared" si="18"/>
        <v>0</v>
      </c>
      <c r="L41" s="9">
        <f t="shared" si="18"/>
        <v>0</v>
      </c>
      <c r="M41" s="9">
        <f t="shared" si="18"/>
        <v>0</v>
      </c>
      <c r="N41" s="9"/>
      <c r="O41" s="9">
        <f t="shared" si="18"/>
        <v>0</v>
      </c>
      <c r="P41" s="9">
        <f t="shared" si="18"/>
        <v>2648644</v>
      </c>
      <c r="Q41" s="9">
        <f>+Q42+Q43+Q44</f>
        <v>971336</v>
      </c>
      <c r="R41" s="9">
        <f t="shared" si="18"/>
        <v>3619980</v>
      </c>
      <c r="S41" s="9">
        <f t="shared" si="18"/>
        <v>3619980</v>
      </c>
      <c r="T41" s="9">
        <f t="shared" si="18"/>
        <v>6084020</v>
      </c>
    </row>
    <row r="42" spans="1:20" ht="18.75" customHeight="1" x14ac:dyDescent="0.3">
      <c r="A42" s="20">
        <v>5</v>
      </c>
      <c r="B42" s="20">
        <v>1</v>
      </c>
      <c r="C42" s="21" t="s">
        <v>34</v>
      </c>
      <c r="D42" s="21" t="s">
        <v>34</v>
      </c>
      <c r="E42" s="21" t="s">
        <v>35</v>
      </c>
      <c r="F42" s="21" t="s">
        <v>81</v>
      </c>
      <c r="G42" s="129" t="s">
        <v>82</v>
      </c>
      <c r="H42" s="115"/>
      <c r="I42" s="14">
        <v>4650000</v>
      </c>
      <c r="J42" s="23">
        <v>0</v>
      </c>
      <c r="K42" s="23">
        <v>0</v>
      </c>
      <c r="L42" s="16">
        <f t="shared" ref="L42:L44" si="19">+J42+K42</f>
        <v>0</v>
      </c>
      <c r="M42" s="24"/>
      <c r="N42" s="24"/>
      <c r="O42" s="16">
        <f t="shared" ref="O42:O51" si="20">+M42+N42</f>
        <v>0</v>
      </c>
      <c r="P42" s="17">
        <v>1213000</v>
      </c>
      <c r="Q42" s="17">
        <v>425000</v>
      </c>
      <c r="R42" s="18">
        <f>P42+Q42</f>
        <v>1638000</v>
      </c>
      <c r="S42" s="18">
        <f>+L42+O42+R42</f>
        <v>1638000</v>
      </c>
      <c r="T42" s="19">
        <f>+I42-S42</f>
        <v>3012000</v>
      </c>
    </row>
    <row r="43" spans="1:20" ht="18.75" customHeight="1" x14ac:dyDescent="0.3">
      <c r="A43" s="20">
        <v>5</v>
      </c>
      <c r="B43" s="20">
        <v>1</v>
      </c>
      <c r="C43" s="21" t="s">
        <v>34</v>
      </c>
      <c r="D43" s="21" t="s">
        <v>34</v>
      </c>
      <c r="E43" s="21" t="s">
        <v>35</v>
      </c>
      <c r="F43" s="21" t="s">
        <v>83</v>
      </c>
      <c r="G43" s="129" t="s">
        <v>84</v>
      </c>
      <c r="H43" s="115"/>
      <c r="I43" s="14">
        <v>5054000</v>
      </c>
      <c r="J43" s="23">
        <v>0</v>
      </c>
      <c r="K43" s="23">
        <v>0</v>
      </c>
      <c r="L43" s="16">
        <f t="shared" si="19"/>
        <v>0</v>
      </c>
      <c r="M43" s="24"/>
      <c r="N43" s="24"/>
      <c r="O43" s="16">
        <f t="shared" si="20"/>
        <v>0</v>
      </c>
      <c r="P43" s="17">
        <v>1435644</v>
      </c>
      <c r="Q43" s="17">
        <v>546336</v>
      </c>
      <c r="R43" s="18">
        <f>P43+Q43</f>
        <v>1981980</v>
      </c>
      <c r="S43" s="18">
        <f>+L43+O43+R43</f>
        <v>1981980</v>
      </c>
      <c r="T43" s="19">
        <f>+I43-S43</f>
        <v>3072020</v>
      </c>
    </row>
    <row r="44" spans="1:20" ht="18.75" hidden="1" customHeight="1" x14ac:dyDescent="0.3">
      <c r="A44" s="20">
        <v>5</v>
      </c>
      <c r="B44" s="20">
        <v>1</v>
      </c>
      <c r="C44" s="21" t="s">
        <v>34</v>
      </c>
      <c r="D44" s="21" t="s">
        <v>34</v>
      </c>
      <c r="E44" s="21" t="s">
        <v>35</v>
      </c>
      <c r="F44" s="21" t="s">
        <v>85</v>
      </c>
      <c r="G44" s="129" t="s">
        <v>86</v>
      </c>
      <c r="H44" s="115"/>
      <c r="I44" s="14">
        <v>0</v>
      </c>
      <c r="J44" s="23">
        <v>0</v>
      </c>
      <c r="K44" s="23">
        <v>0</v>
      </c>
      <c r="L44" s="16">
        <f t="shared" si="19"/>
        <v>0</v>
      </c>
      <c r="M44" s="24"/>
      <c r="N44" s="24"/>
      <c r="O44" s="16">
        <f t="shared" si="20"/>
        <v>0</v>
      </c>
      <c r="P44" s="17"/>
      <c r="Q44" s="17"/>
      <c r="R44" s="18">
        <f>P44+Q44</f>
        <v>0</v>
      </c>
      <c r="S44" s="18">
        <f>+L44+O44+R44</f>
        <v>0</v>
      </c>
      <c r="T44" s="19">
        <f>+I44-S44</f>
        <v>0</v>
      </c>
    </row>
    <row r="45" spans="1:20" ht="36.75" customHeight="1" x14ac:dyDescent="0.25">
      <c r="A45" s="126" t="s">
        <v>87</v>
      </c>
      <c r="B45" s="115"/>
      <c r="C45" s="115"/>
      <c r="D45" s="115"/>
      <c r="E45" s="115"/>
      <c r="F45" s="116"/>
      <c r="G45" s="127" t="s">
        <v>88</v>
      </c>
      <c r="H45" s="115"/>
      <c r="I45" s="9">
        <f>SUM(I46:I51)</f>
        <v>1397341604.0999999</v>
      </c>
      <c r="J45" s="9">
        <f t="shared" ref="J45:T45" si="21">SUM(J46:J51)</f>
        <v>0</v>
      </c>
      <c r="K45" s="9">
        <f t="shared" si="21"/>
        <v>0</v>
      </c>
      <c r="L45" s="9">
        <f t="shared" si="21"/>
        <v>0</v>
      </c>
      <c r="M45" s="9">
        <f t="shared" si="21"/>
        <v>565092100</v>
      </c>
      <c r="N45" s="9">
        <f t="shared" si="21"/>
        <v>100205300</v>
      </c>
      <c r="O45" s="9">
        <f t="shared" si="21"/>
        <v>665297400</v>
      </c>
      <c r="P45" s="9">
        <f t="shared" si="21"/>
        <v>0</v>
      </c>
      <c r="Q45" s="9">
        <f t="shared" si="21"/>
        <v>0</v>
      </c>
      <c r="R45" s="9">
        <f t="shared" si="21"/>
        <v>0</v>
      </c>
      <c r="S45" s="9">
        <f t="shared" si="21"/>
        <v>665297400</v>
      </c>
      <c r="T45" s="9">
        <f t="shared" si="21"/>
        <v>732044204.10000002</v>
      </c>
    </row>
    <row r="46" spans="1:20" ht="24.75" customHeight="1" x14ac:dyDescent="0.3">
      <c r="A46" s="20">
        <v>5</v>
      </c>
      <c r="B46" s="20">
        <v>1</v>
      </c>
      <c r="C46" s="21" t="s">
        <v>34</v>
      </c>
      <c r="D46" s="21" t="s">
        <v>34</v>
      </c>
      <c r="E46" s="21" t="s">
        <v>35</v>
      </c>
      <c r="F46" s="21" t="s">
        <v>89</v>
      </c>
      <c r="G46" s="129" t="s">
        <v>90</v>
      </c>
      <c r="H46" s="115"/>
      <c r="I46" s="22">
        <v>167914344.24000001</v>
      </c>
      <c r="J46" s="15"/>
      <c r="K46" s="15"/>
      <c r="L46" s="16"/>
      <c r="M46" s="17">
        <v>144171400</v>
      </c>
      <c r="N46" s="17">
        <v>43785700</v>
      </c>
      <c r="O46" s="18">
        <f t="shared" si="20"/>
        <v>187957100</v>
      </c>
      <c r="P46" s="17">
        <v>0</v>
      </c>
      <c r="Q46" s="17">
        <v>0</v>
      </c>
      <c r="R46" s="18">
        <f t="shared" ref="R46:R49" si="22">P46+Q46</f>
        <v>0</v>
      </c>
      <c r="S46" s="18">
        <f t="shared" ref="S46:S51" si="23">+L46+O46+R46</f>
        <v>187957100</v>
      </c>
      <c r="T46" s="19">
        <f t="shared" ref="T46:T51" si="24">+I46-S46</f>
        <v>-20042755.75999999</v>
      </c>
    </row>
    <row r="47" spans="1:20" ht="17.25" customHeight="1" x14ac:dyDescent="0.3">
      <c r="A47" s="20">
        <v>5</v>
      </c>
      <c r="B47" s="20">
        <v>1</v>
      </c>
      <c r="C47" s="21" t="s">
        <v>34</v>
      </c>
      <c r="D47" s="21" t="s">
        <v>34</v>
      </c>
      <c r="E47" s="21" t="s">
        <v>35</v>
      </c>
      <c r="F47" s="21" t="s">
        <v>48</v>
      </c>
      <c r="G47" s="129" t="s">
        <v>91</v>
      </c>
      <c r="H47" s="115"/>
      <c r="I47" s="22">
        <v>447771584.63999999</v>
      </c>
      <c r="J47" s="15"/>
      <c r="K47" s="15"/>
      <c r="L47" s="16"/>
      <c r="M47" s="17">
        <v>61697208</v>
      </c>
      <c r="N47" s="17">
        <v>16567522</v>
      </c>
      <c r="O47" s="18">
        <f t="shared" si="20"/>
        <v>78264730</v>
      </c>
      <c r="P47" s="17">
        <v>0</v>
      </c>
      <c r="Q47" s="17">
        <v>0</v>
      </c>
      <c r="R47" s="18">
        <f t="shared" si="22"/>
        <v>0</v>
      </c>
      <c r="S47" s="18">
        <f t="shared" si="23"/>
        <v>78264730</v>
      </c>
      <c r="T47" s="19">
        <f t="shared" si="24"/>
        <v>369506854.63999999</v>
      </c>
    </row>
    <row r="48" spans="1:20" ht="24.75" customHeight="1" x14ac:dyDescent="0.3">
      <c r="A48" s="20">
        <v>5</v>
      </c>
      <c r="B48" s="20">
        <v>1</v>
      </c>
      <c r="C48" s="21" t="s">
        <v>34</v>
      </c>
      <c r="D48" s="21" t="s">
        <v>34</v>
      </c>
      <c r="E48" s="21" t="s">
        <v>35</v>
      </c>
      <c r="F48" s="21" t="s">
        <v>36</v>
      </c>
      <c r="G48" s="129" t="s">
        <v>92</v>
      </c>
      <c r="H48" s="115"/>
      <c r="I48" s="22">
        <v>578575665.18000007</v>
      </c>
      <c r="J48" s="15"/>
      <c r="K48" s="15"/>
      <c r="L48" s="16"/>
      <c r="M48" s="17">
        <v>258018400</v>
      </c>
      <c r="N48" s="17">
        <v>34200000</v>
      </c>
      <c r="O48" s="18">
        <f t="shared" si="20"/>
        <v>292218400</v>
      </c>
      <c r="P48" s="17">
        <v>0</v>
      </c>
      <c r="Q48" s="17">
        <v>0</v>
      </c>
      <c r="R48" s="18">
        <f t="shared" si="22"/>
        <v>0</v>
      </c>
      <c r="S48" s="18">
        <f t="shared" si="23"/>
        <v>292218400</v>
      </c>
      <c r="T48" s="19">
        <f t="shared" si="24"/>
        <v>286357265.18000007</v>
      </c>
    </row>
    <row r="49" spans="1:20" ht="24.75" customHeight="1" x14ac:dyDescent="0.3">
      <c r="A49" s="20">
        <v>5</v>
      </c>
      <c r="B49" s="20">
        <v>1</v>
      </c>
      <c r="C49" s="21" t="s">
        <v>34</v>
      </c>
      <c r="D49" s="21" t="s">
        <v>34</v>
      </c>
      <c r="E49" s="21" t="s">
        <v>35</v>
      </c>
      <c r="F49" s="21" t="s">
        <v>93</v>
      </c>
      <c r="G49" s="129" t="s">
        <v>94</v>
      </c>
      <c r="H49" s="115"/>
      <c r="I49" s="22">
        <v>123160010.04000001</v>
      </c>
      <c r="J49" s="15"/>
      <c r="K49" s="15"/>
      <c r="L49" s="16"/>
      <c r="M49" s="17">
        <v>51205092</v>
      </c>
      <c r="N49" s="17">
        <v>5652078</v>
      </c>
      <c r="O49" s="18">
        <f t="shared" si="20"/>
        <v>56857170</v>
      </c>
      <c r="P49" s="17">
        <v>0</v>
      </c>
      <c r="Q49" s="17">
        <v>0</v>
      </c>
      <c r="R49" s="18">
        <f t="shared" si="22"/>
        <v>0</v>
      </c>
      <c r="S49" s="18">
        <f t="shared" si="23"/>
        <v>56857170</v>
      </c>
      <c r="T49" s="19">
        <f t="shared" si="24"/>
        <v>66302840.040000007</v>
      </c>
    </row>
    <row r="50" spans="1:20" ht="24.75" customHeight="1" x14ac:dyDescent="0.3">
      <c r="A50" s="20">
        <v>5</v>
      </c>
      <c r="B50" s="20">
        <v>1</v>
      </c>
      <c r="C50" s="21" t="s">
        <v>34</v>
      </c>
      <c r="D50" s="21" t="s">
        <v>34</v>
      </c>
      <c r="E50" s="21" t="s">
        <v>60</v>
      </c>
      <c r="F50" s="21" t="s">
        <v>95</v>
      </c>
      <c r="G50" s="129" t="s">
        <v>96</v>
      </c>
      <c r="H50" s="115"/>
      <c r="I50" s="22">
        <v>4620000</v>
      </c>
      <c r="J50" s="15"/>
      <c r="K50" s="15"/>
      <c r="L50" s="16"/>
      <c r="M50" s="17">
        <v>0</v>
      </c>
      <c r="N50" s="17">
        <v>0</v>
      </c>
      <c r="O50" s="18">
        <f t="shared" si="20"/>
        <v>0</v>
      </c>
      <c r="P50" s="17"/>
      <c r="Q50" s="17"/>
      <c r="R50" s="18">
        <f>+P50+Q50</f>
        <v>0</v>
      </c>
      <c r="S50" s="18">
        <f t="shared" si="23"/>
        <v>0</v>
      </c>
      <c r="T50" s="19">
        <f t="shared" si="24"/>
        <v>4620000</v>
      </c>
    </row>
    <row r="51" spans="1:20" ht="24.75" customHeight="1" x14ac:dyDescent="0.3">
      <c r="A51" s="20">
        <v>5</v>
      </c>
      <c r="B51" s="20">
        <v>1</v>
      </c>
      <c r="C51" s="21" t="s">
        <v>34</v>
      </c>
      <c r="D51" s="21" t="s">
        <v>34</v>
      </c>
      <c r="E51" s="21" t="s">
        <v>65</v>
      </c>
      <c r="F51" s="21" t="s">
        <v>61</v>
      </c>
      <c r="G51" s="129" t="s">
        <v>97</v>
      </c>
      <c r="H51" s="115"/>
      <c r="I51" s="22">
        <v>75300000</v>
      </c>
      <c r="J51" s="15"/>
      <c r="K51" s="15"/>
      <c r="L51" s="16"/>
      <c r="M51" s="17">
        <v>50000000</v>
      </c>
      <c r="N51" s="17">
        <v>0</v>
      </c>
      <c r="O51" s="18">
        <f t="shared" si="20"/>
        <v>50000000</v>
      </c>
      <c r="P51" s="17"/>
      <c r="Q51" s="17"/>
      <c r="R51" s="18">
        <f>+P51+Q51</f>
        <v>0</v>
      </c>
      <c r="S51" s="18">
        <f t="shared" si="23"/>
        <v>50000000</v>
      </c>
      <c r="T51" s="19">
        <f t="shared" si="24"/>
        <v>25300000</v>
      </c>
    </row>
    <row r="52" spans="1:20" ht="43.5" customHeight="1" x14ac:dyDescent="0.25">
      <c r="A52" s="126" t="s">
        <v>98</v>
      </c>
      <c r="B52" s="115"/>
      <c r="C52" s="115"/>
      <c r="D52" s="115"/>
      <c r="E52" s="115"/>
      <c r="F52" s="116"/>
      <c r="G52" s="127" t="s">
        <v>99</v>
      </c>
      <c r="H52" s="115"/>
      <c r="I52" s="9">
        <f t="shared" ref="I52:T52" si="25">SUM(I53:I56)</f>
        <v>305425000</v>
      </c>
      <c r="J52" s="9">
        <f t="shared" si="25"/>
        <v>0</v>
      </c>
      <c r="K52" s="9">
        <f t="shared" si="25"/>
        <v>0</v>
      </c>
      <c r="L52" s="9">
        <f t="shared" si="25"/>
        <v>0</v>
      </c>
      <c r="M52" s="9">
        <f t="shared" si="25"/>
        <v>0</v>
      </c>
      <c r="N52" s="9">
        <f t="shared" si="25"/>
        <v>0</v>
      </c>
      <c r="O52" s="9">
        <f t="shared" si="25"/>
        <v>0</v>
      </c>
      <c r="P52" s="9">
        <f t="shared" si="25"/>
        <v>45812068</v>
      </c>
      <c r="Q52" s="9">
        <f t="shared" si="25"/>
        <v>7406000</v>
      </c>
      <c r="R52" s="9">
        <f t="shared" si="25"/>
        <v>53218068</v>
      </c>
      <c r="S52" s="9">
        <f t="shared" si="25"/>
        <v>53218068</v>
      </c>
      <c r="T52" s="9">
        <f t="shared" si="25"/>
        <v>252206932</v>
      </c>
    </row>
    <row r="53" spans="1:20" ht="19.5" hidden="1" customHeight="1" x14ac:dyDescent="0.3">
      <c r="A53" s="20">
        <v>5</v>
      </c>
      <c r="B53" s="20">
        <v>1</v>
      </c>
      <c r="C53" s="21" t="s">
        <v>34</v>
      </c>
      <c r="D53" s="21" t="s">
        <v>35</v>
      </c>
      <c r="E53" s="21" t="s">
        <v>35</v>
      </c>
      <c r="F53" s="21" t="s">
        <v>66</v>
      </c>
      <c r="G53" s="129" t="s">
        <v>100</v>
      </c>
      <c r="H53" s="115"/>
      <c r="I53" s="14">
        <v>0</v>
      </c>
      <c r="J53" s="23">
        <v>0</v>
      </c>
      <c r="K53" s="23">
        <v>0</v>
      </c>
      <c r="L53" s="16">
        <f>+J53+K53</f>
        <v>0</v>
      </c>
      <c r="M53" s="24">
        <v>0</v>
      </c>
      <c r="N53" s="23">
        <v>0</v>
      </c>
      <c r="O53" s="16">
        <f>+M53+N53</f>
        <v>0</v>
      </c>
      <c r="P53" s="18"/>
      <c r="Q53" s="18"/>
      <c r="R53" s="18">
        <f>+P53+Q53</f>
        <v>0</v>
      </c>
      <c r="S53" s="18">
        <f>+L53+O53+R53</f>
        <v>0</v>
      </c>
      <c r="T53" s="19">
        <f>+I53-S53</f>
        <v>0</v>
      </c>
    </row>
    <row r="54" spans="1:20" ht="29.25" customHeight="1" x14ac:dyDescent="0.3">
      <c r="A54" s="20">
        <v>5</v>
      </c>
      <c r="B54" s="20">
        <v>1</v>
      </c>
      <c r="C54" s="21" t="s">
        <v>34</v>
      </c>
      <c r="D54" s="21" t="s">
        <v>34</v>
      </c>
      <c r="E54" s="21" t="s">
        <v>35</v>
      </c>
      <c r="F54" s="21" t="s">
        <v>101</v>
      </c>
      <c r="G54" s="129" t="s">
        <v>102</v>
      </c>
      <c r="H54" s="115"/>
      <c r="I54" s="22">
        <v>13705000</v>
      </c>
      <c r="J54" s="23"/>
      <c r="K54" s="23"/>
      <c r="L54" s="16"/>
      <c r="M54" s="24"/>
      <c r="N54" s="23"/>
      <c r="O54" s="16"/>
      <c r="P54" s="17">
        <v>1103900</v>
      </c>
      <c r="Q54" s="17">
        <v>0</v>
      </c>
      <c r="R54" s="18">
        <f>+P54+Q54</f>
        <v>1103900</v>
      </c>
      <c r="S54" s="18">
        <f>+L54+O54+R54</f>
        <v>1103900</v>
      </c>
      <c r="T54" s="19">
        <f>+I54-R54</f>
        <v>12601100</v>
      </c>
    </row>
    <row r="55" spans="1:20" ht="27.75" customHeight="1" x14ac:dyDescent="0.3">
      <c r="A55" s="20">
        <v>5</v>
      </c>
      <c r="B55" s="20">
        <v>1</v>
      </c>
      <c r="C55" s="21" t="s">
        <v>34</v>
      </c>
      <c r="D55" s="21" t="s">
        <v>73</v>
      </c>
      <c r="E55" s="21" t="s">
        <v>34</v>
      </c>
      <c r="F55" s="21" t="s">
        <v>103</v>
      </c>
      <c r="G55" s="129" t="s">
        <v>104</v>
      </c>
      <c r="H55" s="115"/>
      <c r="I55" s="22">
        <v>266800000</v>
      </c>
      <c r="J55" s="15">
        <v>0</v>
      </c>
      <c r="K55" s="15">
        <v>0</v>
      </c>
      <c r="L55" s="16">
        <f>+J55+K55</f>
        <v>0</v>
      </c>
      <c r="M55" s="17">
        <v>0</v>
      </c>
      <c r="N55" s="15">
        <v>0</v>
      </c>
      <c r="O55" s="16">
        <f>+M55+N55</f>
        <v>0</v>
      </c>
      <c r="P55" s="17">
        <v>43773168</v>
      </c>
      <c r="Q55" s="17">
        <v>7088000</v>
      </c>
      <c r="R55" s="18">
        <f>+P55+Q55</f>
        <v>50861168</v>
      </c>
      <c r="S55" s="18">
        <f>+L55+O55+R55</f>
        <v>50861168</v>
      </c>
      <c r="T55" s="19">
        <f>+I55-S55</f>
        <v>215938832</v>
      </c>
    </row>
    <row r="56" spans="1:20" ht="27.75" customHeight="1" x14ac:dyDescent="0.3">
      <c r="A56" s="20">
        <v>5</v>
      </c>
      <c r="B56" s="20">
        <v>1</v>
      </c>
      <c r="C56" s="21" t="s">
        <v>34</v>
      </c>
      <c r="D56" s="21" t="s">
        <v>73</v>
      </c>
      <c r="E56" s="21" t="s">
        <v>34</v>
      </c>
      <c r="F56" s="21" t="s">
        <v>164</v>
      </c>
      <c r="G56" s="129" t="s">
        <v>163</v>
      </c>
      <c r="H56" s="115"/>
      <c r="I56" s="22">
        <v>24920000</v>
      </c>
      <c r="J56" s="15">
        <v>0</v>
      </c>
      <c r="K56" s="15">
        <v>0</v>
      </c>
      <c r="L56" s="16">
        <f>+J56+K56</f>
        <v>0</v>
      </c>
      <c r="M56" s="17">
        <v>0</v>
      </c>
      <c r="N56" s="15">
        <v>0</v>
      </c>
      <c r="O56" s="16">
        <f>+M56+N56</f>
        <v>0</v>
      </c>
      <c r="P56" s="17">
        <v>935000</v>
      </c>
      <c r="Q56" s="17">
        <v>318000</v>
      </c>
      <c r="R56" s="18">
        <f>+P56+Q56</f>
        <v>1253000</v>
      </c>
      <c r="S56" s="18">
        <f>+L56+O56+R56</f>
        <v>1253000</v>
      </c>
      <c r="T56" s="19">
        <f>+I56-S56</f>
        <v>23667000</v>
      </c>
    </row>
    <row r="57" spans="1:20" ht="52.5" customHeight="1" x14ac:dyDescent="0.25">
      <c r="A57" s="126" t="s">
        <v>105</v>
      </c>
      <c r="B57" s="115"/>
      <c r="C57" s="115"/>
      <c r="D57" s="115"/>
      <c r="E57" s="115"/>
      <c r="F57" s="116"/>
      <c r="G57" s="127" t="s">
        <v>106</v>
      </c>
      <c r="H57" s="115"/>
      <c r="I57" s="9">
        <f>I58+I59+I60</f>
        <v>32095400</v>
      </c>
      <c r="J57" s="9">
        <f t="shared" ref="J57:T57" si="26">J58+J59+J60</f>
        <v>0</v>
      </c>
      <c r="K57" s="9">
        <f t="shared" si="26"/>
        <v>0</v>
      </c>
      <c r="L57" s="9">
        <f t="shared" si="26"/>
        <v>0</v>
      </c>
      <c r="M57" s="9">
        <f t="shared" si="26"/>
        <v>0</v>
      </c>
      <c r="N57" s="9">
        <f t="shared" si="26"/>
        <v>0</v>
      </c>
      <c r="O57" s="9">
        <f t="shared" si="26"/>
        <v>0</v>
      </c>
      <c r="P57" s="9">
        <f t="shared" si="26"/>
        <v>2545000</v>
      </c>
      <c r="Q57" s="9">
        <f t="shared" si="26"/>
        <v>7295800</v>
      </c>
      <c r="R57" s="9">
        <f t="shared" si="26"/>
        <v>9840800</v>
      </c>
      <c r="S57" s="9">
        <f t="shared" si="26"/>
        <v>9840800</v>
      </c>
      <c r="T57" s="9">
        <f t="shared" si="26"/>
        <v>22254600</v>
      </c>
    </row>
    <row r="58" spans="1:20" ht="19.5" customHeight="1" x14ac:dyDescent="0.3">
      <c r="A58" s="20">
        <v>5</v>
      </c>
      <c r="B58" s="20">
        <v>1</v>
      </c>
      <c r="C58" s="21" t="s">
        <v>34</v>
      </c>
      <c r="D58" s="21" t="s">
        <v>35</v>
      </c>
      <c r="E58" s="21" t="s">
        <v>35</v>
      </c>
      <c r="F58" s="21" t="s">
        <v>66</v>
      </c>
      <c r="G58" s="129" t="s">
        <v>100</v>
      </c>
      <c r="H58" s="115"/>
      <c r="I58" s="22">
        <v>8745400</v>
      </c>
      <c r="J58" s="23">
        <v>0</v>
      </c>
      <c r="K58" s="23">
        <v>0</v>
      </c>
      <c r="L58" s="16">
        <f t="shared" ref="L58:L60" si="27">+J58+K58</f>
        <v>0</v>
      </c>
      <c r="M58" s="24"/>
      <c r="N58" s="23">
        <v>0</v>
      </c>
      <c r="O58" s="16">
        <f t="shared" ref="O58:O60" si="28">+M58+N58</f>
        <v>0</v>
      </c>
      <c r="P58" s="17">
        <v>0</v>
      </c>
      <c r="Q58" s="17">
        <v>0</v>
      </c>
      <c r="R58" s="18">
        <f>P58+Q58</f>
        <v>0</v>
      </c>
      <c r="S58" s="18">
        <f t="shared" ref="S58:S60" si="29">+L58+O58+R58</f>
        <v>0</v>
      </c>
      <c r="T58" s="19">
        <f t="shared" ref="T58:T60" si="30">+I58-S58</f>
        <v>8745400</v>
      </c>
    </row>
    <row r="59" spans="1:20" ht="19.5" customHeight="1" x14ac:dyDescent="0.3">
      <c r="A59" s="20">
        <v>5</v>
      </c>
      <c r="B59" s="20">
        <v>1</v>
      </c>
      <c r="C59" s="21" t="s">
        <v>34</v>
      </c>
      <c r="D59" s="21" t="s">
        <v>73</v>
      </c>
      <c r="E59" s="21" t="s">
        <v>34</v>
      </c>
      <c r="F59" s="21" t="s">
        <v>107</v>
      </c>
      <c r="G59" s="130" t="s">
        <v>108</v>
      </c>
      <c r="H59" s="115"/>
      <c r="I59" s="22">
        <v>9150000</v>
      </c>
      <c r="J59" s="23">
        <v>0</v>
      </c>
      <c r="K59" s="23">
        <v>0</v>
      </c>
      <c r="L59" s="16">
        <f t="shared" si="27"/>
        <v>0</v>
      </c>
      <c r="M59" s="24"/>
      <c r="N59" s="23"/>
      <c r="O59" s="16">
        <f t="shared" si="28"/>
        <v>0</v>
      </c>
      <c r="P59" s="17">
        <v>0</v>
      </c>
      <c r="Q59" s="17">
        <v>5305800</v>
      </c>
      <c r="R59" s="18">
        <f>P59+Q59</f>
        <v>5305800</v>
      </c>
      <c r="S59" s="18">
        <f t="shared" si="29"/>
        <v>5305800</v>
      </c>
      <c r="T59" s="19">
        <f t="shared" si="30"/>
        <v>3844200</v>
      </c>
    </row>
    <row r="60" spans="1:20" ht="19.5" customHeight="1" x14ac:dyDescent="0.3">
      <c r="A60" s="20">
        <v>5</v>
      </c>
      <c r="B60" s="20">
        <v>1</v>
      </c>
      <c r="C60" s="21" t="s">
        <v>34</v>
      </c>
      <c r="D60" s="21" t="s">
        <v>73</v>
      </c>
      <c r="E60" s="21" t="s">
        <v>34</v>
      </c>
      <c r="F60" s="21" t="s">
        <v>109</v>
      </c>
      <c r="G60" s="130" t="s">
        <v>110</v>
      </c>
      <c r="H60" s="115"/>
      <c r="I60" s="22">
        <v>14200000</v>
      </c>
      <c r="J60" s="23">
        <v>0</v>
      </c>
      <c r="K60" s="23">
        <v>0</v>
      </c>
      <c r="L60" s="16">
        <f t="shared" si="27"/>
        <v>0</v>
      </c>
      <c r="M60" s="24"/>
      <c r="N60" s="23"/>
      <c r="O60" s="16">
        <f t="shared" si="28"/>
        <v>0</v>
      </c>
      <c r="P60" s="17">
        <v>2545000</v>
      </c>
      <c r="Q60" s="17">
        <v>1990000</v>
      </c>
      <c r="R60" s="18">
        <f>P60+Q60</f>
        <v>4535000</v>
      </c>
      <c r="S60" s="18">
        <f t="shared" si="29"/>
        <v>4535000</v>
      </c>
      <c r="T60" s="19">
        <f t="shared" si="30"/>
        <v>9665000</v>
      </c>
    </row>
    <row r="61" spans="1:20" ht="52.5" customHeight="1" x14ac:dyDescent="0.25">
      <c r="A61" s="126" t="s">
        <v>111</v>
      </c>
      <c r="B61" s="115"/>
      <c r="C61" s="115"/>
      <c r="D61" s="115"/>
      <c r="E61" s="115"/>
      <c r="F61" s="116"/>
      <c r="G61" s="127" t="s">
        <v>112</v>
      </c>
      <c r="H61" s="115"/>
      <c r="I61" s="9">
        <f>I62+I63</f>
        <v>293448800</v>
      </c>
      <c r="J61" s="9">
        <f t="shared" ref="J61:T61" si="31">J62+J63</f>
        <v>0</v>
      </c>
      <c r="K61" s="9">
        <f t="shared" si="31"/>
        <v>0</v>
      </c>
      <c r="L61" s="9">
        <f t="shared" si="31"/>
        <v>0</v>
      </c>
      <c r="M61" s="9">
        <f t="shared" si="31"/>
        <v>0</v>
      </c>
      <c r="N61" s="9">
        <f t="shared" si="31"/>
        <v>0</v>
      </c>
      <c r="O61" s="9">
        <f t="shared" si="31"/>
        <v>0</v>
      </c>
      <c r="P61" s="9">
        <f t="shared" si="31"/>
        <v>0</v>
      </c>
      <c r="Q61" s="9">
        <f t="shared" si="31"/>
        <v>0</v>
      </c>
      <c r="R61" s="9">
        <f t="shared" si="31"/>
        <v>0</v>
      </c>
      <c r="S61" s="9">
        <f t="shared" si="31"/>
        <v>0</v>
      </c>
      <c r="T61" s="9">
        <f t="shared" si="31"/>
        <v>293448800</v>
      </c>
    </row>
    <row r="62" spans="1:20" ht="19.5" customHeight="1" x14ac:dyDescent="0.3">
      <c r="A62" s="20">
        <v>5</v>
      </c>
      <c r="B62" s="20">
        <v>1</v>
      </c>
      <c r="C62" s="21" t="s">
        <v>34</v>
      </c>
      <c r="D62" s="21" t="s">
        <v>34</v>
      </c>
      <c r="E62" s="21" t="s">
        <v>70</v>
      </c>
      <c r="F62" s="21" t="s">
        <v>61</v>
      </c>
      <c r="G62" s="129" t="s">
        <v>113</v>
      </c>
      <c r="H62" s="115"/>
      <c r="I62" s="14">
        <v>0</v>
      </c>
      <c r="J62" s="23">
        <v>0</v>
      </c>
      <c r="K62" s="23">
        <v>0</v>
      </c>
      <c r="L62" s="16">
        <f t="shared" ref="L62:L63" si="32">+J62+K62</f>
        <v>0</v>
      </c>
      <c r="M62" s="24"/>
      <c r="N62" s="24"/>
      <c r="O62" s="18">
        <f t="shared" ref="O62:O63" si="33">+M62+N62</f>
        <v>0</v>
      </c>
      <c r="P62" s="25">
        <v>0</v>
      </c>
      <c r="Q62" s="25">
        <v>0</v>
      </c>
      <c r="R62" s="16">
        <f>+P62+Q62</f>
        <v>0</v>
      </c>
      <c r="S62" s="18">
        <f>+L62+O62+R62</f>
        <v>0</v>
      </c>
      <c r="T62" s="19">
        <f>+I62-S62</f>
        <v>0</v>
      </c>
    </row>
    <row r="63" spans="1:20" ht="19.5" customHeight="1" x14ac:dyDescent="0.3">
      <c r="A63" s="20">
        <v>5</v>
      </c>
      <c r="B63" s="20">
        <v>1</v>
      </c>
      <c r="C63" s="21" t="s">
        <v>34</v>
      </c>
      <c r="D63" s="21" t="s">
        <v>73</v>
      </c>
      <c r="E63" s="21" t="s">
        <v>73</v>
      </c>
      <c r="F63" s="21" t="s">
        <v>61</v>
      </c>
      <c r="G63" s="130" t="s">
        <v>165</v>
      </c>
      <c r="H63" s="115"/>
      <c r="I63" s="22">
        <v>293448800</v>
      </c>
      <c r="J63" s="23">
        <v>0</v>
      </c>
      <c r="K63" s="23">
        <v>0</v>
      </c>
      <c r="L63" s="16">
        <f t="shared" si="32"/>
        <v>0</v>
      </c>
      <c r="M63" s="17">
        <v>0</v>
      </c>
      <c r="N63" s="17">
        <v>0</v>
      </c>
      <c r="O63" s="18">
        <f t="shared" si="33"/>
        <v>0</v>
      </c>
      <c r="P63" s="25">
        <v>0</v>
      </c>
      <c r="Q63" s="25">
        <v>0</v>
      </c>
      <c r="R63" s="16">
        <f>+P63+Q63</f>
        <v>0</v>
      </c>
      <c r="S63" s="18">
        <f>+L63+O63+R63</f>
        <v>0</v>
      </c>
      <c r="T63" s="19">
        <f>+I63-S63</f>
        <v>293448800</v>
      </c>
    </row>
    <row r="64" spans="1:20" ht="52.5" hidden="1" customHeight="1" x14ac:dyDescent="0.25">
      <c r="A64" s="126" t="s">
        <v>114</v>
      </c>
      <c r="B64" s="115"/>
      <c r="C64" s="115"/>
      <c r="D64" s="115"/>
      <c r="E64" s="115"/>
      <c r="F64" s="116"/>
      <c r="G64" s="127" t="s">
        <v>115</v>
      </c>
      <c r="H64" s="115"/>
      <c r="I64" s="9">
        <f>I65+I66+I67+I69+I68</f>
        <v>0</v>
      </c>
      <c r="J64" s="9">
        <f t="shared" ref="J64:T64" si="34">J65+J66+J67+J69+J68</f>
        <v>0</v>
      </c>
      <c r="K64" s="9">
        <f t="shared" si="34"/>
        <v>0</v>
      </c>
      <c r="L64" s="9">
        <f t="shared" si="34"/>
        <v>0</v>
      </c>
      <c r="M64" s="9">
        <f t="shared" si="34"/>
        <v>0</v>
      </c>
      <c r="N64" s="9">
        <f t="shared" si="34"/>
        <v>0</v>
      </c>
      <c r="O64" s="9">
        <f t="shared" si="34"/>
        <v>0</v>
      </c>
      <c r="P64" s="9">
        <f t="shared" si="34"/>
        <v>0</v>
      </c>
      <c r="Q64" s="9">
        <f t="shared" si="34"/>
        <v>0</v>
      </c>
      <c r="R64" s="9">
        <f t="shared" si="34"/>
        <v>0</v>
      </c>
      <c r="S64" s="9">
        <f t="shared" si="34"/>
        <v>0</v>
      </c>
      <c r="T64" s="9">
        <f t="shared" si="34"/>
        <v>0</v>
      </c>
    </row>
    <row r="65" spans="1:20" ht="19.5" hidden="1" customHeight="1" x14ac:dyDescent="0.3">
      <c r="A65" s="20">
        <v>5</v>
      </c>
      <c r="B65" s="20">
        <v>1</v>
      </c>
      <c r="C65" s="21" t="s">
        <v>34</v>
      </c>
      <c r="D65" s="21" t="s">
        <v>35</v>
      </c>
      <c r="E65" s="21" t="s">
        <v>35</v>
      </c>
      <c r="F65" s="21" t="s">
        <v>66</v>
      </c>
      <c r="G65" s="130" t="s">
        <v>100</v>
      </c>
      <c r="H65" s="115"/>
      <c r="I65" s="14">
        <v>0</v>
      </c>
      <c r="J65" s="23">
        <v>0</v>
      </c>
      <c r="K65" s="23">
        <v>0</v>
      </c>
      <c r="L65" s="16">
        <f t="shared" ref="L65:L69" si="35">+J65+K65</f>
        <v>0</v>
      </c>
      <c r="M65" s="24"/>
      <c r="N65" s="23"/>
      <c r="O65" s="16">
        <f t="shared" ref="O65:O69" si="36">+M65+N65</f>
        <v>0</v>
      </c>
      <c r="P65" s="17"/>
      <c r="Q65" s="17"/>
      <c r="R65" s="18">
        <f>+P65+Q65</f>
        <v>0</v>
      </c>
      <c r="S65" s="18">
        <f>+L65+O65+R65</f>
        <v>0</v>
      </c>
      <c r="T65" s="19">
        <f>+I65-S65</f>
        <v>0</v>
      </c>
    </row>
    <row r="66" spans="1:20" ht="19.5" hidden="1" customHeight="1" x14ac:dyDescent="0.3">
      <c r="A66" s="20">
        <v>5</v>
      </c>
      <c r="B66" s="20">
        <v>1</v>
      </c>
      <c r="C66" s="21" t="s">
        <v>34</v>
      </c>
      <c r="D66" s="21" t="s">
        <v>35</v>
      </c>
      <c r="E66" s="21" t="s">
        <v>35</v>
      </c>
      <c r="F66" s="21" t="s">
        <v>52</v>
      </c>
      <c r="G66" s="130" t="s">
        <v>53</v>
      </c>
      <c r="H66" s="115"/>
      <c r="I66" s="22">
        <v>0</v>
      </c>
      <c r="J66" s="23">
        <v>0</v>
      </c>
      <c r="K66" s="23">
        <v>0</v>
      </c>
      <c r="L66" s="16">
        <f t="shared" si="35"/>
        <v>0</v>
      </c>
      <c r="M66" s="24"/>
      <c r="N66" s="23"/>
      <c r="O66" s="16">
        <f t="shared" si="36"/>
        <v>0</v>
      </c>
      <c r="P66" s="17">
        <v>0</v>
      </c>
      <c r="Q66" s="17"/>
      <c r="R66" s="18">
        <f>+P66+Q66</f>
        <v>0</v>
      </c>
      <c r="S66" s="18">
        <f>+L66+O66+R66</f>
        <v>0</v>
      </c>
      <c r="T66" s="19">
        <f>+I66-S66</f>
        <v>0</v>
      </c>
    </row>
    <row r="67" spans="1:20" ht="19.5" hidden="1" customHeight="1" x14ac:dyDescent="0.3">
      <c r="A67" s="20">
        <v>5</v>
      </c>
      <c r="B67" s="20">
        <v>1</v>
      </c>
      <c r="C67" s="21" t="s">
        <v>34</v>
      </c>
      <c r="D67" s="21" t="s">
        <v>35</v>
      </c>
      <c r="E67" s="21" t="s">
        <v>35</v>
      </c>
      <c r="F67" s="21" t="s">
        <v>58</v>
      </c>
      <c r="G67" s="130" t="s">
        <v>116</v>
      </c>
      <c r="H67" s="115"/>
      <c r="I67" s="22">
        <v>0</v>
      </c>
      <c r="J67" s="23">
        <v>0</v>
      </c>
      <c r="K67" s="23">
        <v>0</v>
      </c>
      <c r="L67" s="16">
        <f t="shared" si="35"/>
        <v>0</v>
      </c>
      <c r="M67" s="24"/>
      <c r="N67" s="23"/>
      <c r="O67" s="16">
        <f t="shared" si="36"/>
        <v>0</v>
      </c>
      <c r="P67" s="17">
        <v>0</v>
      </c>
      <c r="Q67" s="17"/>
      <c r="R67" s="18">
        <f>+P67+Q67</f>
        <v>0</v>
      </c>
      <c r="S67" s="18">
        <f>+L67+O67+R67</f>
        <v>0</v>
      </c>
      <c r="T67" s="19">
        <f>+I67-S67</f>
        <v>0</v>
      </c>
    </row>
    <row r="68" spans="1:20" ht="19.5" hidden="1" customHeight="1" x14ac:dyDescent="0.3">
      <c r="A68" s="20">
        <v>5</v>
      </c>
      <c r="B68" s="20">
        <v>1</v>
      </c>
      <c r="C68" s="21" t="s">
        <v>34</v>
      </c>
      <c r="D68" s="21" t="s">
        <v>34</v>
      </c>
      <c r="E68" s="21" t="s">
        <v>35</v>
      </c>
      <c r="F68" s="21" t="s">
        <v>117</v>
      </c>
      <c r="G68" s="130" t="s">
        <v>118</v>
      </c>
      <c r="H68" s="115"/>
      <c r="I68" s="22">
        <v>0</v>
      </c>
      <c r="J68" s="23">
        <v>0</v>
      </c>
      <c r="K68" s="23">
        <v>0</v>
      </c>
      <c r="L68" s="16">
        <f t="shared" si="35"/>
        <v>0</v>
      </c>
      <c r="M68" s="24"/>
      <c r="N68" s="23"/>
      <c r="O68" s="16">
        <f t="shared" si="36"/>
        <v>0</v>
      </c>
      <c r="P68" s="17">
        <v>0</v>
      </c>
      <c r="Q68" s="17"/>
      <c r="R68" s="18">
        <f>+P68+Q68</f>
        <v>0</v>
      </c>
      <c r="S68" s="18">
        <f>+L68+O68+R68</f>
        <v>0</v>
      </c>
      <c r="T68" s="19">
        <f>+I68-S68</f>
        <v>0</v>
      </c>
    </row>
    <row r="69" spans="1:20" ht="19.5" hidden="1" customHeight="1" x14ac:dyDescent="0.3">
      <c r="A69" s="20">
        <v>5</v>
      </c>
      <c r="B69" s="20">
        <v>1</v>
      </c>
      <c r="C69" s="21" t="s">
        <v>34</v>
      </c>
      <c r="D69" s="21" t="s">
        <v>34</v>
      </c>
      <c r="E69" s="21" t="s">
        <v>35</v>
      </c>
      <c r="F69" s="21" t="s">
        <v>119</v>
      </c>
      <c r="G69" s="130" t="s">
        <v>120</v>
      </c>
      <c r="H69" s="115"/>
      <c r="I69" s="22">
        <v>0</v>
      </c>
      <c r="J69" s="23">
        <v>0</v>
      </c>
      <c r="K69" s="23">
        <v>0</v>
      </c>
      <c r="L69" s="16">
        <f t="shared" si="35"/>
        <v>0</v>
      </c>
      <c r="M69" s="24"/>
      <c r="N69" s="23"/>
      <c r="O69" s="16">
        <f t="shared" si="36"/>
        <v>0</v>
      </c>
      <c r="P69" s="17">
        <v>0</v>
      </c>
      <c r="Q69" s="17"/>
      <c r="R69" s="18">
        <f>+P69+Q69</f>
        <v>0</v>
      </c>
      <c r="S69" s="18">
        <f>+L69+O69+R69</f>
        <v>0</v>
      </c>
      <c r="T69" s="19">
        <f>+I69-S69</f>
        <v>0</v>
      </c>
    </row>
    <row r="70" spans="1:20" ht="52.5" customHeight="1" x14ac:dyDescent="0.25">
      <c r="A70" s="126" t="s">
        <v>121</v>
      </c>
      <c r="B70" s="115"/>
      <c r="C70" s="115"/>
      <c r="D70" s="115"/>
      <c r="E70" s="115"/>
      <c r="F70" s="116"/>
      <c r="G70" s="127" t="s">
        <v>122</v>
      </c>
      <c r="H70" s="115"/>
      <c r="I70" s="9">
        <f>I71+I72+I73</f>
        <v>174501824</v>
      </c>
      <c r="J70" s="9">
        <f t="shared" ref="J70:T70" si="37">J71+J72+J73</f>
        <v>0</v>
      </c>
      <c r="K70" s="9">
        <f t="shared" si="37"/>
        <v>0</v>
      </c>
      <c r="L70" s="9">
        <f t="shared" si="37"/>
        <v>0</v>
      </c>
      <c r="M70" s="9">
        <f t="shared" si="37"/>
        <v>0</v>
      </c>
      <c r="N70" s="9">
        <f t="shared" si="37"/>
        <v>0</v>
      </c>
      <c r="O70" s="9">
        <f t="shared" si="37"/>
        <v>0</v>
      </c>
      <c r="P70" s="9">
        <f t="shared" si="37"/>
        <v>27350152</v>
      </c>
      <c r="Q70" s="9">
        <f t="shared" si="37"/>
        <v>12294152</v>
      </c>
      <c r="R70" s="9">
        <f t="shared" si="37"/>
        <v>39644304</v>
      </c>
      <c r="S70" s="9">
        <f t="shared" si="37"/>
        <v>39644304</v>
      </c>
      <c r="T70" s="9">
        <f t="shared" si="37"/>
        <v>134857520</v>
      </c>
    </row>
    <row r="71" spans="1:20" ht="27.75" customHeight="1" x14ac:dyDescent="0.3">
      <c r="A71" s="20">
        <v>5</v>
      </c>
      <c r="B71" s="20">
        <v>1</v>
      </c>
      <c r="C71" s="21" t="s">
        <v>34</v>
      </c>
      <c r="D71" s="21" t="s">
        <v>35</v>
      </c>
      <c r="E71" s="21" t="s">
        <v>35</v>
      </c>
      <c r="F71" s="21" t="s">
        <v>46</v>
      </c>
      <c r="G71" s="129" t="s">
        <v>47</v>
      </c>
      <c r="H71" s="115"/>
      <c r="I71" s="22">
        <v>25000000</v>
      </c>
      <c r="J71" s="23"/>
      <c r="K71" s="23"/>
      <c r="L71" s="16"/>
      <c r="M71" s="24"/>
      <c r="N71" s="23"/>
      <c r="O71" s="16"/>
      <c r="P71" s="17">
        <v>0</v>
      </c>
      <c r="Q71" s="17"/>
      <c r="R71" s="18">
        <f>+P71+Q71</f>
        <v>0</v>
      </c>
      <c r="S71" s="18">
        <f>+L71+O71+R71</f>
        <v>0</v>
      </c>
      <c r="T71" s="19">
        <f>+I71-S71</f>
        <v>25000000</v>
      </c>
    </row>
    <row r="72" spans="1:20" ht="27.75" customHeight="1" x14ac:dyDescent="0.3">
      <c r="A72" s="20">
        <v>5</v>
      </c>
      <c r="B72" s="20">
        <v>1</v>
      </c>
      <c r="C72" s="21" t="s">
        <v>34</v>
      </c>
      <c r="D72" s="21" t="s">
        <v>34</v>
      </c>
      <c r="E72" s="21" t="s">
        <v>35</v>
      </c>
      <c r="F72" s="21" t="s">
        <v>66</v>
      </c>
      <c r="G72" s="129" t="s">
        <v>123</v>
      </c>
      <c r="H72" s="115"/>
      <c r="I72" s="22">
        <v>134548000</v>
      </c>
      <c r="J72" s="23"/>
      <c r="K72" s="23"/>
      <c r="L72" s="16"/>
      <c r="M72" s="24"/>
      <c r="N72" s="23"/>
      <c r="O72" s="16"/>
      <c r="P72" s="17">
        <v>26104000</v>
      </c>
      <c r="Q72" s="17">
        <v>11048000</v>
      </c>
      <c r="R72" s="18">
        <f>+P72+Q72</f>
        <v>37152000</v>
      </c>
      <c r="S72" s="18">
        <f>+L72+O72+R72</f>
        <v>37152000</v>
      </c>
      <c r="T72" s="19">
        <f>+I72-S72</f>
        <v>97396000</v>
      </c>
    </row>
    <row r="73" spans="1:20" ht="27.75" customHeight="1" x14ac:dyDescent="0.3">
      <c r="A73" s="20">
        <v>5</v>
      </c>
      <c r="B73" s="20">
        <v>1</v>
      </c>
      <c r="C73" s="21" t="s">
        <v>34</v>
      </c>
      <c r="D73" s="21" t="s">
        <v>34</v>
      </c>
      <c r="E73" s="21" t="s">
        <v>35</v>
      </c>
      <c r="F73" s="21" t="s">
        <v>89</v>
      </c>
      <c r="G73" s="129" t="s">
        <v>90</v>
      </c>
      <c r="H73" s="115"/>
      <c r="I73" s="14">
        <v>14953824</v>
      </c>
      <c r="J73" s="23"/>
      <c r="K73" s="23"/>
      <c r="L73" s="16"/>
      <c r="M73" s="24"/>
      <c r="N73" s="23"/>
      <c r="O73" s="16"/>
      <c r="P73" s="17">
        <v>1246152</v>
      </c>
      <c r="Q73" s="17">
        <v>1246152</v>
      </c>
      <c r="R73" s="18">
        <f>+P73+Q73</f>
        <v>2492304</v>
      </c>
      <c r="S73" s="18">
        <f>+L73+O73+R73</f>
        <v>2492304</v>
      </c>
      <c r="T73" s="19">
        <f>+I73-S73</f>
        <v>12461520</v>
      </c>
    </row>
    <row r="74" spans="1:20" ht="52.5" customHeight="1" x14ac:dyDescent="0.25">
      <c r="A74" s="126" t="s">
        <v>124</v>
      </c>
      <c r="B74" s="115"/>
      <c r="C74" s="115"/>
      <c r="D74" s="115"/>
      <c r="E74" s="115"/>
      <c r="F74" s="116"/>
      <c r="G74" s="127" t="s">
        <v>125</v>
      </c>
      <c r="H74" s="115"/>
      <c r="I74" s="9">
        <f>I75+I76+I77+I78</f>
        <v>187397520</v>
      </c>
      <c r="J74" s="9">
        <f t="shared" ref="J74:T74" si="38">J75+J76+J77+J78</f>
        <v>0</v>
      </c>
      <c r="K74" s="9">
        <f t="shared" si="38"/>
        <v>0</v>
      </c>
      <c r="L74" s="9">
        <f t="shared" si="38"/>
        <v>0</v>
      </c>
      <c r="M74" s="9">
        <f t="shared" si="38"/>
        <v>0</v>
      </c>
      <c r="N74" s="9">
        <f t="shared" si="38"/>
        <v>0</v>
      </c>
      <c r="O74" s="9">
        <f t="shared" si="38"/>
        <v>0</v>
      </c>
      <c r="P74" s="9">
        <f t="shared" si="38"/>
        <v>81139000</v>
      </c>
      <c r="Q74" s="9">
        <f t="shared" si="38"/>
        <v>8894089</v>
      </c>
      <c r="R74" s="9">
        <f t="shared" si="38"/>
        <v>90033089</v>
      </c>
      <c r="S74" s="9">
        <f t="shared" si="38"/>
        <v>90033089</v>
      </c>
      <c r="T74" s="9">
        <f t="shared" si="38"/>
        <v>97364431</v>
      </c>
    </row>
    <row r="75" spans="1:20" ht="29.25" customHeight="1" x14ac:dyDescent="0.3">
      <c r="A75" s="20">
        <v>5</v>
      </c>
      <c r="B75" s="20">
        <v>1</v>
      </c>
      <c r="C75" s="21" t="s">
        <v>34</v>
      </c>
      <c r="D75" s="21" t="s">
        <v>35</v>
      </c>
      <c r="E75" s="21" t="s">
        <v>35</v>
      </c>
      <c r="F75" s="21" t="s">
        <v>66</v>
      </c>
      <c r="G75" s="129" t="s">
        <v>100</v>
      </c>
      <c r="H75" s="115"/>
      <c r="I75" s="22">
        <v>101597520</v>
      </c>
      <c r="J75" s="15"/>
      <c r="K75" s="15"/>
      <c r="L75" s="16"/>
      <c r="M75" s="17"/>
      <c r="N75" s="15"/>
      <c r="O75" s="16"/>
      <c r="P75" s="17">
        <v>38039000</v>
      </c>
      <c r="Q75" s="17">
        <v>8894089</v>
      </c>
      <c r="R75" s="18">
        <f t="shared" ref="R75:R78" si="39">+P75+Q75</f>
        <v>46933089</v>
      </c>
      <c r="S75" s="18">
        <f>+L75+O75+R75</f>
        <v>46933089</v>
      </c>
      <c r="T75" s="19">
        <f>+I75-S75</f>
        <v>54664431</v>
      </c>
    </row>
    <row r="76" spans="1:20" ht="19.5" customHeight="1" x14ac:dyDescent="0.3">
      <c r="A76" s="20">
        <v>5</v>
      </c>
      <c r="B76" s="20">
        <v>1</v>
      </c>
      <c r="C76" s="21" t="s">
        <v>34</v>
      </c>
      <c r="D76" s="21" t="s">
        <v>35</v>
      </c>
      <c r="E76" s="21" t="s">
        <v>35</v>
      </c>
      <c r="F76" s="21" t="s">
        <v>58</v>
      </c>
      <c r="G76" s="129" t="s">
        <v>59</v>
      </c>
      <c r="H76" s="115"/>
      <c r="I76" s="22">
        <v>30600000</v>
      </c>
      <c r="J76" s="23">
        <v>0</v>
      </c>
      <c r="K76" s="23">
        <v>0</v>
      </c>
      <c r="L76" s="16">
        <f t="shared" ref="L76:L78" si="40">+J76+K76</f>
        <v>0</v>
      </c>
      <c r="M76" s="24">
        <v>0</v>
      </c>
      <c r="N76" s="23">
        <v>0</v>
      </c>
      <c r="O76" s="16">
        <f t="shared" ref="O76:O78" si="41">+M76+N76</f>
        <v>0</v>
      </c>
      <c r="P76" s="17">
        <v>16200000</v>
      </c>
      <c r="Q76" s="18"/>
      <c r="R76" s="18">
        <f t="shared" si="39"/>
        <v>16200000</v>
      </c>
      <c r="S76" s="18">
        <f>+L76+O76+R76</f>
        <v>16200000</v>
      </c>
      <c r="T76" s="19">
        <f>+I76-S76</f>
        <v>14400000</v>
      </c>
    </row>
    <row r="77" spans="1:20" ht="29.25" customHeight="1" x14ac:dyDescent="0.3">
      <c r="A77" s="20">
        <v>5</v>
      </c>
      <c r="B77" s="20">
        <v>1</v>
      </c>
      <c r="C77" s="21" t="s">
        <v>34</v>
      </c>
      <c r="D77" s="21" t="s">
        <v>34</v>
      </c>
      <c r="E77" s="21" t="s">
        <v>35</v>
      </c>
      <c r="F77" s="21" t="s">
        <v>66</v>
      </c>
      <c r="G77" s="129" t="s">
        <v>126</v>
      </c>
      <c r="H77" s="115"/>
      <c r="I77" s="22">
        <v>55200000</v>
      </c>
      <c r="J77" s="15">
        <v>0</v>
      </c>
      <c r="K77" s="15">
        <v>0</v>
      </c>
      <c r="L77" s="16">
        <f t="shared" si="40"/>
        <v>0</v>
      </c>
      <c r="M77" s="17">
        <v>0</v>
      </c>
      <c r="N77" s="15">
        <v>0</v>
      </c>
      <c r="O77" s="16">
        <f t="shared" si="41"/>
        <v>0</v>
      </c>
      <c r="P77" s="17">
        <v>26900000</v>
      </c>
      <c r="Q77" s="17"/>
      <c r="R77" s="18">
        <f t="shared" si="39"/>
        <v>26900000</v>
      </c>
      <c r="S77" s="18">
        <f>+L77+O77+R77</f>
        <v>26900000</v>
      </c>
      <c r="T77" s="19">
        <f>+I77-S77</f>
        <v>28300000</v>
      </c>
    </row>
    <row r="78" spans="1:20" ht="29.25" customHeight="1" x14ac:dyDescent="0.3">
      <c r="A78" s="20">
        <v>5</v>
      </c>
      <c r="B78" s="20">
        <v>1</v>
      </c>
      <c r="C78" s="21" t="s">
        <v>34</v>
      </c>
      <c r="D78" s="21" t="s">
        <v>34</v>
      </c>
      <c r="E78" s="21" t="s">
        <v>60</v>
      </c>
      <c r="F78" s="21" t="s">
        <v>44</v>
      </c>
      <c r="G78" s="129" t="s">
        <v>127</v>
      </c>
      <c r="H78" s="115"/>
      <c r="I78" s="22">
        <v>0</v>
      </c>
      <c r="J78" s="15">
        <v>0</v>
      </c>
      <c r="K78" s="15">
        <v>0</v>
      </c>
      <c r="L78" s="16">
        <f t="shared" si="40"/>
        <v>0</v>
      </c>
      <c r="M78" s="17">
        <v>0</v>
      </c>
      <c r="N78" s="15">
        <v>0</v>
      </c>
      <c r="O78" s="16">
        <f t="shared" si="41"/>
        <v>0</v>
      </c>
      <c r="P78" s="17">
        <v>0</v>
      </c>
      <c r="Q78" s="17"/>
      <c r="R78" s="18">
        <f t="shared" si="39"/>
        <v>0</v>
      </c>
      <c r="S78" s="18">
        <f>+L78+O78+R78</f>
        <v>0</v>
      </c>
      <c r="T78" s="19">
        <f>+I78-S78</f>
        <v>0</v>
      </c>
    </row>
    <row r="79" spans="1:20" ht="12.75" customHeight="1" thickBot="1" x14ac:dyDescent="0.3">
      <c r="A79" s="26"/>
      <c r="B79" s="27"/>
      <c r="C79" s="27"/>
      <c r="D79" s="27"/>
      <c r="E79" s="27"/>
      <c r="F79" s="28"/>
      <c r="G79" s="29"/>
      <c r="H79" s="30"/>
      <c r="I79" s="31"/>
      <c r="J79" s="32"/>
      <c r="K79" s="32"/>
      <c r="L79" s="32"/>
      <c r="M79" s="33"/>
      <c r="N79" s="32"/>
      <c r="O79" s="33"/>
      <c r="P79" s="33"/>
      <c r="Q79" s="33"/>
      <c r="R79" s="33"/>
      <c r="S79" s="33"/>
      <c r="T79" s="31"/>
    </row>
    <row r="80" spans="1:20" ht="12.75" customHeight="1" x14ac:dyDescent="0.25">
      <c r="A80" s="131" t="s">
        <v>14</v>
      </c>
      <c r="B80" s="132"/>
      <c r="C80" s="132"/>
      <c r="D80" s="132"/>
      <c r="E80" s="132"/>
      <c r="F80" s="132"/>
      <c r="G80" s="34"/>
      <c r="H80" s="35"/>
      <c r="I80" s="36">
        <f t="shared" ref="I80:T80" si="42">I17+I19+I26+I29+I33+I41+I45+I52+I57+I61+I64+I70+I74+I39+I35</f>
        <v>2704866443.0999999</v>
      </c>
      <c r="J80" s="36">
        <f t="shared" si="42"/>
        <v>0</v>
      </c>
      <c r="K80" s="36">
        <f t="shared" si="42"/>
        <v>0</v>
      </c>
      <c r="L80" s="36">
        <f t="shared" si="42"/>
        <v>0</v>
      </c>
      <c r="M80" s="36">
        <f t="shared" si="42"/>
        <v>565092100</v>
      </c>
      <c r="N80" s="36">
        <f t="shared" si="42"/>
        <v>100205300</v>
      </c>
      <c r="O80" s="36">
        <f t="shared" si="42"/>
        <v>665297400</v>
      </c>
      <c r="P80" s="36">
        <f t="shared" si="42"/>
        <v>235033994</v>
      </c>
      <c r="Q80" s="36">
        <f>Q17+Q19+Q26+Q29+Q33+Q41+Q45+Q52+Q57+Q61+Q64+Q70+Q74+Q39+Q35</f>
        <v>52828377</v>
      </c>
      <c r="R80" s="36">
        <f t="shared" si="42"/>
        <v>287862371</v>
      </c>
      <c r="S80" s="36">
        <f t="shared" si="42"/>
        <v>953159771</v>
      </c>
      <c r="T80" s="36">
        <f t="shared" si="42"/>
        <v>1751706672.0999999</v>
      </c>
    </row>
    <row r="81" spans="1:20" ht="12.75" customHeight="1" x14ac:dyDescent="0.25">
      <c r="A81" s="37"/>
      <c r="B81" s="38"/>
      <c r="C81" s="38"/>
      <c r="D81" s="38"/>
      <c r="E81" s="38"/>
      <c r="F81" s="38"/>
      <c r="G81" s="39" t="s">
        <v>128</v>
      </c>
      <c r="H81" s="40"/>
      <c r="I81" s="40"/>
      <c r="J81" s="41"/>
      <c r="K81" s="41"/>
      <c r="L81" s="41"/>
      <c r="M81" s="42"/>
      <c r="N81" s="42"/>
      <c r="O81" s="42"/>
      <c r="P81" s="42"/>
      <c r="Q81" s="42"/>
      <c r="R81" s="42"/>
      <c r="S81" s="42"/>
      <c r="T81" s="43"/>
    </row>
    <row r="82" spans="1:20" ht="12.75" customHeight="1" x14ac:dyDescent="0.25">
      <c r="A82" s="44"/>
      <c r="B82" s="45"/>
      <c r="C82" s="45"/>
      <c r="D82" s="45"/>
      <c r="E82" s="45"/>
      <c r="F82" s="45"/>
      <c r="G82" s="46" t="s">
        <v>129</v>
      </c>
      <c r="H82" s="47"/>
      <c r="I82" s="48"/>
      <c r="J82" s="49">
        <v>0</v>
      </c>
      <c r="K82" s="49">
        <v>0</v>
      </c>
      <c r="L82" s="49">
        <f t="shared" ref="L82:L87" si="43">+J82+K82</f>
        <v>0</v>
      </c>
      <c r="M82" s="50">
        <f>SUM(M83:M87)</f>
        <v>565092100</v>
      </c>
      <c r="N82" s="50">
        <f t="shared" ref="N82:S82" si="44">SUM(N83:N87)</f>
        <v>100205300</v>
      </c>
      <c r="O82" s="50">
        <f t="shared" si="44"/>
        <v>665297400</v>
      </c>
      <c r="P82" s="50">
        <f t="shared" si="44"/>
        <v>468188795</v>
      </c>
      <c r="Q82" s="50">
        <f t="shared" si="44"/>
        <v>0</v>
      </c>
      <c r="R82" s="50">
        <f t="shared" si="44"/>
        <v>468188795</v>
      </c>
      <c r="S82" s="50">
        <f t="shared" si="44"/>
        <v>1133486195</v>
      </c>
      <c r="T82" s="51"/>
    </row>
    <row r="83" spans="1:20" ht="12.75" customHeight="1" x14ac:dyDescent="0.25">
      <c r="A83" s="44"/>
      <c r="B83" s="45"/>
      <c r="C83" s="45"/>
      <c r="D83" s="45"/>
      <c r="E83" s="45"/>
      <c r="F83" s="45"/>
      <c r="G83" s="53" t="s">
        <v>130</v>
      </c>
      <c r="H83" s="47"/>
      <c r="I83" s="48"/>
      <c r="J83" s="54">
        <v>0</v>
      </c>
      <c r="K83" s="54">
        <v>0</v>
      </c>
      <c r="L83" s="54">
        <f t="shared" si="43"/>
        <v>0</v>
      </c>
      <c r="M83" s="55">
        <v>0</v>
      </c>
      <c r="N83" s="55"/>
      <c r="O83" s="55"/>
      <c r="P83" s="55">
        <v>259024795</v>
      </c>
      <c r="Q83" s="55"/>
      <c r="R83" s="55">
        <f>+P83+Q83</f>
        <v>259024795</v>
      </c>
      <c r="S83" s="55">
        <f>+L83+O83+R83</f>
        <v>259024795</v>
      </c>
      <c r="T83" s="51"/>
    </row>
    <row r="84" spans="1:20" ht="12.75" customHeight="1" x14ac:dyDescent="0.25">
      <c r="A84" s="44"/>
      <c r="B84" s="45"/>
      <c r="C84" s="45"/>
      <c r="D84" s="45"/>
      <c r="E84" s="45"/>
      <c r="F84" s="45"/>
      <c r="G84" s="56" t="s">
        <v>131</v>
      </c>
      <c r="H84" s="47"/>
      <c r="I84" s="48"/>
      <c r="J84" s="54">
        <v>0</v>
      </c>
      <c r="K84" s="54">
        <v>0</v>
      </c>
      <c r="L84" s="54">
        <f t="shared" si="43"/>
        <v>0</v>
      </c>
      <c r="M84" s="55">
        <v>0</v>
      </c>
      <c r="N84" s="55"/>
      <c r="O84" s="55">
        <f t="shared" ref="O84:O86" si="45">+M84+N84</f>
        <v>0</v>
      </c>
      <c r="P84" s="55">
        <v>209164000</v>
      </c>
      <c r="Q84" s="55">
        <v>0</v>
      </c>
      <c r="R84" s="55">
        <f>+P84+Q84</f>
        <v>209164000</v>
      </c>
      <c r="S84" s="55">
        <f>+L84+O84+R84</f>
        <v>209164000</v>
      </c>
      <c r="T84" s="51"/>
    </row>
    <row r="85" spans="1:20" ht="12.75" customHeight="1" x14ac:dyDescent="0.25">
      <c r="A85" s="44"/>
      <c r="B85" s="45"/>
      <c r="C85" s="45"/>
      <c r="D85" s="45"/>
      <c r="E85" s="45"/>
      <c r="F85" s="45"/>
      <c r="G85" s="53" t="s">
        <v>132</v>
      </c>
      <c r="H85" s="47"/>
      <c r="I85" s="48"/>
      <c r="J85" s="54">
        <v>0</v>
      </c>
      <c r="K85" s="54">
        <v>0</v>
      </c>
      <c r="L85" s="54">
        <f t="shared" si="43"/>
        <v>0</v>
      </c>
      <c r="M85" s="55">
        <v>0</v>
      </c>
      <c r="N85" s="55">
        <v>0</v>
      </c>
      <c r="O85" s="55">
        <f t="shared" si="45"/>
        <v>0</v>
      </c>
      <c r="P85" s="55"/>
      <c r="Q85" s="55"/>
      <c r="R85" s="55">
        <f>+P85+Q85</f>
        <v>0</v>
      </c>
      <c r="S85" s="55">
        <f>+L85+O85+R85</f>
        <v>0</v>
      </c>
      <c r="T85" s="51"/>
    </row>
    <row r="86" spans="1:20" ht="12.75" customHeight="1" x14ac:dyDescent="0.25">
      <c r="A86" s="44"/>
      <c r="B86" s="45"/>
      <c r="C86" s="45"/>
      <c r="D86" s="45"/>
      <c r="E86" s="45"/>
      <c r="F86" s="45"/>
      <c r="G86" s="53" t="s">
        <v>133</v>
      </c>
      <c r="H86" s="47"/>
      <c r="I86" s="48"/>
      <c r="J86" s="54">
        <v>0</v>
      </c>
      <c r="K86" s="54">
        <v>0</v>
      </c>
      <c r="L86" s="54">
        <f t="shared" si="43"/>
        <v>0</v>
      </c>
      <c r="M86" s="55">
        <v>565092100</v>
      </c>
      <c r="N86" s="55">
        <v>100205300</v>
      </c>
      <c r="O86" s="55">
        <f t="shared" si="45"/>
        <v>665297400</v>
      </c>
      <c r="P86" s="55">
        <v>0</v>
      </c>
      <c r="Q86" s="55">
        <v>0</v>
      </c>
      <c r="R86" s="55">
        <f>+P86+Q86</f>
        <v>0</v>
      </c>
      <c r="S86" s="55">
        <f>+L86+O86+R86</f>
        <v>665297400</v>
      </c>
      <c r="T86" s="51"/>
    </row>
    <row r="87" spans="1:20" ht="12.75" customHeight="1" x14ac:dyDescent="0.25">
      <c r="A87" s="44"/>
      <c r="B87" s="45"/>
      <c r="C87" s="45"/>
      <c r="D87" s="45"/>
      <c r="E87" s="45"/>
      <c r="F87" s="45"/>
      <c r="G87" s="53" t="s">
        <v>134</v>
      </c>
      <c r="H87" s="47"/>
      <c r="I87" s="48"/>
      <c r="J87" s="54">
        <v>0</v>
      </c>
      <c r="K87" s="54">
        <v>0</v>
      </c>
      <c r="L87" s="54">
        <f t="shared" si="43"/>
        <v>0</v>
      </c>
      <c r="M87" s="55"/>
      <c r="N87" s="55"/>
      <c r="O87" s="55"/>
      <c r="P87" s="55">
        <v>0</v>
      </c>
      <c r="Q87" s="55"/>
      <c r="R87" s="55">
        <f>+P87+Q87</f>
        <v>0</v>
      </c>
      <c r="S87" s="55">
        <f>+L87+O87+R87</f>
        <v>0</v>
      </c>
      <c r="T87" s="51"/>
    </row>
    <row r="88" spans="1:20" s="65" customFormat="1" ht="12.75" customHeight="1" x14ac:dyDescent="0.25">
      <c r="A88" s="57"/>
      <c r="B88" s="58"/>
      <c r="C88" s="58"/>
      <c r="D88" s="58"/>
      <c r="E88" s="58"/>
      <c r="F88" s="58"/>
      <c r="G88" s="59" t="s">
        <v>135</v>
      </c>
      <c r="H88" s="60"/>
      <c r="I88" s="61"/>
      <c r="J88" s="62">
        <f t="shared" ref="J88:L88" si="46">SUM(J89:J92)</f>
        <v>0</v>
      </c>
      <c r="K88" s="62">
        <f t="shared" si="46"/>
        <v>0</v>
      </c>
      <c r="L88" s="62">
        <f t="shared" si="46"/>
        <v>0</v>
      </c>
      <c r="M88" s="50">
        <f>+M89+M90+M91+M92+M93+M94</f>
        <v>63076100</v>
      </c>
      <c r="N88" s="63">
        <f t="shared" ref="N88:R88" si="47">+N89+N90+N91+N92+N93</f>
        <v>11735755</v>
      </c>
      <c r="O88" s="63">
        <f t="shared" si="47"/>
        <v>74811855</v>
      </c>
      <c r="P88" s="63">
        <f t="shared" si="47"/>
        <v>404600</v>
      </c>
      <c r="Q88" s="63">
        <f t="shared" si="47"/>
        <v>658410</v>
      </c>
      <c r="R88" s="63">
        <f t="shared" si="47"/>
        <v>1063010</v>
      </c>
      <c r="S88" s="63">
        <f>+S89+S90+S91+S92+S93</f>
        <v>75874865</v>
      </c>
      <c r="T88" s="64"/>
    </row>
    <row r="89" spans="1:20" ht="12.75" customHeight="1" x14ac:dyDescent="0.25">
      <c r="A89" s="44"/>
      <c r="B89" s="45"/>
      <c r="C89" s="45"/>
      <c r="D89" s="45"/>
      <c r="E89" s="45"/>
      <c r="F89" s="45"/>
      <c r="G89" s="56" t="s">
        <v>136</v>
      </c>
      <c r="H89" s="47"/>
      <c r="I89" s="48"/>
      <c r="J89" s="54">
        <v>0</v>
      </c>
      <c r="K89" s="54">
        <v>0</v>
      </c>
      <c r="L89" s="54">
        <f t="shared" ref="L89:L94" si="48">+J89+K89</f>
        <v>0</v>
      </c>
      <c r="M89" s="55">
        <v>51045161</v>
      </c>
      <c r="N89" s="55">
        <v>9930254</v>
      </c>
      <c r="O89" s="55">
        <f t="shared" ref="O89:O94" si="49">+M89+N89</f>
        <v>60975415</v>
      </c>
      <c r="P89" s="55">
        <v>0</v>
      </c>
      <c r="Q89" s="55">
        <v>525800</v>
      </c>
      <c r="R89" s="55">
        <f t="shared" ref="R89:R95" si="50">+P89+Q89</f>
        <v>525800</v>
      </c>
      <c r="S89" s="55">
        <f t="shared" ref="S89:S95" si="51">+L89+O89+R89</f>
        <v>61501215</v>
      </c>
      <c r="T89" s="51"/>
    </row>
    <row r="90" spans="1:20" ht="12.75" customHeight="1" x14ac:dyDescent="0.25">
      <c r="A90" s="44"/>
      <c r="B90" s="45"/>
      <c r="C90" s="45"/>
      <c r="D90" s="45"/>
      <c r="E90" s="45"/>
      <c r="F90" s="45"/>
      <c r="G90" s="53" t="s">
        <v>137</v>
      </c>
      <c r="H90" s="47"/>
      <c r="I90" s="48"/>
      <c r="J90" s="54">
        <v>0</v>
      </c>
      <c r="K90" s="54">
        <v>0</v>
      </c>
      <c r="L90" s="54">
        <f t="shared" si="48"/>
        <v>0</v>
      </c>
      <c r="M90" s="55">
        <v>0</v>
      </c>
      <c r="N90" s="55">
        <v>0</v>
      </c>
      <c r="O90" s="55">
        <f t="shared" si="49"/>
        <v>0</v>
      </c>
      <c r="P90" s="55">
        <v>335000</v>
      </c>
      <c r="Q90" s="55">
        <v>0</v>
      </c>
      <c r="R90" s="55">
        <f t="shared" si="50"/>
        <v>335000</v>
      </c>
      <c r="S90" s="55">
        <f t="shared" si="51"/>
        <v>335000</v>
      </c>
      <c r="T90" s="66"/>
    </row>
    <row r="91" spans="1:20" ht="12.75" customHeight="1" x14ac:dyDescent="0.25">
      <c r="A91" s="44"/>
      <c r="B91" s="45"/>
      <c r="C91" s="45"/>
      <c r="D91" s="45"/>
      <c r="E91" s="45"/>
      <c r="F91" s="45"/>
      <c r="G91" s="53" t="s">
        <v>138</v>
      </c>
      <c r="H91" s="47"/>
      <c r="I91" s="48"/>
      <c r="J91" s="54">
        <v>0</v>
      </c>
      <c r="K91" s="54">
        <v>0</v>
      </c>
      <c r="L91" s="54">
        <f t="shared" si="48"/>
        <v>0</v>
      </c>
      <c r="M91" s="55">
        <v>0</v>
      </c>
      <c r="N91" s="55">
        <v>0</v>
      </c>
      <c r="O91" s="55">
        <f t="shared" si="49"/>
        <v>0</v>
      </c>
      <c r="P91" s="55">
        <v>0</v>
      </c>
      <c r="Q91" s="55">
        <v>27450</v>
      </c>
      <c r="R91" s="55">
        <f t="shared" si="50"/>
        <v>27450</v>
      </c>
      <c r="S91" s="55">
        <f t="shared" si="51"/>
        <v>27450</v>
      </c>
      <c r="T91" s="51"/>
    </row>
    <row r="92" spans="1:20" ht="12.75" customHeight="1" x14ac:dyDescent="0.25">
      <c r="A92" s="44"/>
      <c r="B92" s="45"/>
      <c r="C92" s="45"/>
      <c r="D92" s="45"/>
      <c r="E92" s="45"/>
      <c r="F92" s="45"/>
      <c r="G92" s="53" t="s">
        <v>139</v>
      </c>
      <c r="H92" s="47"/>
      <c r="I92" s="48"/>
      <c r="J92" s="54">
        <v>0</v>
      </c>
      <c r="K92" s="54">
        <v>0</v>
      </c>
      <c r="L92" s="54">
        <f t="shared" si="48"/>
        <v>0</v>
      </c>
      <c r="M92" s="55">
        <v>9280939</v>
      </c>
      <c r="N92" s="55">
        <v>1805501</v>
      </c>
      <c r="O92" s="55">
        <f t="shared" si="49"/>
        <v>11086440</v>
      </c>
      <c r="P92" s="55">
        <v>69600</v>
      </c>
      <c r="Q92" s="55">
        <v>105160</v>
      </c>
      <c r="R92" s="55">
        <f t="shared" si="50"/>
        <v>174760</v>
      </c>
      <c r="S92" s="55">
        <f t="shared" si="51"/>
        <v>11261200</v>
      </c>
      <c r="T92" s="51"/>
    </row>
    <row r="93" spans="1:20" ht="12.75" customHeight="1" x14ac:dyDescent="0.25">
      <c r="A93" s="44"/>
      <c r="B93" s="45"/>
      <c r="C93" s="45"/>
      <c r="D93" s="45"/>
      <c r="E93" s="45"/>
      <c r="F93" s="45"/>
      <c r="G93" s="56" t="s">
        <v>140</v>
      </c>
      <c r="H93" s="47"/>
      <c r="I93" s="48"/>
      <c r="J93" s="54">
        <v>0</v>
      </c>
      <c r="K93" s="54">
        <v>0</v>
      </c>
      <c r="L93" s="54">
        <f t="shared" si="48"/>
        <v>0</v>
      </c>
      <c r="M93" s="55">
        <v>2750000</v>
      </c>
      <c r="N93" s="55">
        <v>0</v>
      </c>
      <c r="O93" s="55">
        <f t="shared" si="49"/>
        <v>2750000</v>
      </c>
      <c r="P93" s="55">
        <v>0</v>
      </c>
      <c r="Q93" s="55">
        <v>0</v>
      </c>
      <c r="R93" s="55">
        <f t="shared" si="50"/>
        <v>0</v>
      </c>
      <c r="S93" s="55">
        <f t="shared" si="51"/>
        <v>2750000</v>
      </c>
      <c r="T93" s="51"/>
    </row>
    <row r="94" spans="1:20" ht="12.75" customHeight="1" x14ac:dyDescent="0.25">
      <c r="A94" s="44"/>
      <c r="B94" s="45"/>
      <c r="C94" s="45"/>
      <c r="D94" s="45"/>
      <c r="E94" s="45"/>
      <c r="F94" s="45"/>
      <c r="G94" s="67" t="s">
        <v>141</v>
      </c>
      <c r="H94" s="68"/>
      <c r="I94" s="69"/>
      <c r="J94" s="54">
        <v>0</v>
      </c>
      <c r="K94" s="54">
        <v>0</v>
      </c>
      <c r="L94" s="54">
        <f t="shared" si="48"/>
        <v>0</v>
      </c>
      <c r="M94" s="55">
        <v>0</v>
      </c>
      <c r="N94" s="55">
        <v>0</v>
      </c>
      <c r="O94" s="55">
        <f t="shared" si="49"/>
        <v>0</v>
      </c>
      <c r="P94" s="50">
        <v>0</v>
      </c>
      <c r="Q94" s="55">
        <f>+'[1]BUKU PANJAR '!F15</f>
        <v>0</v>
      </c>
      <c r="R94" s="50">
        <f t="shared" si="50"/>
        <v>0</v>
      </c>
      <c r="S94" s="50">
        <f t="shared" si="51"/>
        <v>0</v>
      </c>
      <c r="T94" s="51"/>
    </row>
    <row r="95" spans="1:20" ht="12.75" customHeight="1" thickBot="1" x14ac:dyDescent="0.3">
      <c r="A95" s="44"/>
      <c r="B95" s="45"/>
      <c r="C95" s="45"/>
      <c r="D95" s="45"/>
      <c r="E95" s="45"/>
      <c r="F95" s="45"/>
      <c r="G95" s="67" t="s">
        <v>142</v>
      </c>
      <c r="H95" s="70"/>
      <c r="I95" s="71"/>
      <c r="J95" s="72"/>
      <c r="K95" s="72"/>
      <c r="L95" s="72"/>
      <c r="M95" s="73"/>
      <c r="N95" s="73"/>
      <c r="O95" s="73"/>
      <c r="P95" s="74"/>
      <c r="Q95" s="74"/>
      <c r="R95" s="50">
        <f t="shared" si="50"/>
        <v>0</v>
      </c>
      <c r="S95" s="50">
        <f t="shared" si="51"/>
        <v>0</v>
      </c>
      <c r="T95" s="51"/>
    </row>
    <row r="96" spans="1:20" ht="12.75" customHeight="1" x14ac:dyDescent="0.25">
      <c r="A96" s="44"/>
      <c r="B96" s="45"/>
      <c r="C96" s="45"/>
      <c r="D96" s="45"/>
      <c r="E96" s="45"/>
      <c r="F96" s="45"/>
      <c r="G96" s="75" t="s">
        <v>143</v>
      </c>
      <c r="H96" s="76"/>
      <c r="I96" s="77"/>
      <c r="J96" s="78">
        <f t="shared" ref="J96:R96" si="52">+J88+J82</f>
        <v>0</v>
      </c>
      <c r="K96" s="78">
        <f t="shared" si="52"/>
        <v>0</v>
      </c>
      <c r="L96" s="78">
        <f t="shared" si="52"/>
        <v>0</v>
      </c>
      <c r="M96" s="79">
        <f t="shared" si="52"/>
        <v>628168200</v>
      </c>
      <c r="N96" s="79">
        <f t="shared" si="52"/>
        <v>111941055</v>
      </c>
      <c r="O96" s="79">
        <f>+O88+O82</f>
        <v>740109255</v>
      </c>
      <c r="P96" s="79">
        <f t="shared" si="52"/>
        <v>468593395</v>
      </c>
      <c r="Q96" s="79">
        <f t="shared" si="52"/>
        <v>658410</v>
      </c>
      <c r="R96" s="79">
        <f t="shared" si="52"/>
        <v>469251805</v>
      </c>
      <c r="S96" s="79">
        <f>+S88+S82</f>
        <v>1209361060</v>
      </c>
      <c r="T96" s="51"/>
    </row>
    <row r="97" spans="1:20" ht="12.75" customHeight="1" x14ac:dyDescent="0.25">
      <c r="A97" s="44"/>
      <c r="B97" s="45"/>
      <c r="C97" s="45"/>
      <c r="D97" s="45"/>
      <c r="E97" s="45"/>
      <c r="F97" s="45"/>
      <c r="G97" s="80" t="s">
        <v>144</v>
      </c>
      <c r="H97" s="81"/>
      <c r="I97" s="40"/>
      <c r="J97" s="41"/>
      <c r="K97" s="41"/>
      <c r="L97" s="41"/>
      <c r="M97" s="42"/>
      <c r="N97" s="42"/>
      <c r="O97" s="42"/>
      <c r="P97" s="42"/>
      <c r="Q97" s="42" t="s">
        <v>145</v>
      </c>
      <c r="R97" s="42"/>
      <c r="S97" s="42"/>
      <c r="T97" s="51"/>
    </row>
    <row r="98" spans="1:20" ht="12.75" customHeight="1" x14ac:dyDescent="0.25">
      <c r="A98" s="44"/>
      <c r="B98" s="45"/>
      <c r="C98" s="45"/>
      <c r="D98" s="45"/>
      <c r="E98" s="45"/>
      <c r="F98" s="45"/>
      <c r="G98" s="46" t="s">
        <v>129</v>
      </c>
      <c r="H98" s="47"/>
      <c r="I98" s="48"/>
      <c r="J98" s="49">
        <v>0</v>
      </c>
      <c r="K98" s="49">
        <v>0</v>
      </c>
      <c r="L98" s="49">
        <f t="shared" ref="L98:L109" si="53">+J98+K98</f>
        <v>0</v>
      </c>
      <c r="M98" s="50">
        <f>+M80</f>
        <v>565092100</v>
      </c>
      <c r="N98" s="50">
        <f>SUM(N99:N102)</f>
        <v>100205300</v>
      </c>
      <c r="O98" s="50">
        <f>SUM(O99:O102)</f>
        <v>665297400</v>
      </c>
      <c r="P98" s="50">
        <f>+P99+P100+P101</f>
        <v>235033994</v>
      </c>
      <c r="Q98" s="50">
        <f>+Q99+Q100+Q101+Q102</f>
        <v>52828377</v>
      </c>
      <c r="R98" s="50">
        <f>+P98+Q98</f>
        <v>287862371</v>
      </c>
      <c r="S98" s="50">
        <f>+S99+S100+S101+S102</f>
        <v>953159771</v>
      </c>
      <c r="T98" s="51"/>
    </row>
    <row r="99" spans="1:20" ht="12.75" customHeight="1" x14ac:dyDescent="0.25">
      <c r="A99" s="44"/>
      <c r="B99" s="45"/>
      <c r="C99" s="45"/>
      <c r="D99" s="45"/>
      <c r="E99" s="45"/>
      <c r="F99" s="45"/>
      <c r="G99" s="53" t="s">
        <v>130</v>
      </c>
      <c r="H99" s="47"/>
      <c r="I99" s="48"/>
      <c r="J99" s="54">
        <v>0</v>
      </c>
      <c r="K99" s="54">
        <v>0</v>
      </c>
      <c r="L99" s="54">
        <f t="shared" si="53"/>
        <v>0</v>
      </c>
      <c r="M99" s="55">
        <v>0</v>
      </c>
      <c r="N99" s="55">
        <v>0</v>
      </c>
      <c r="O99" s="55">
        <f t="shared" ref="O99:O101" si="54">+M99+N99</f>
        <v>0</v>
      </c>
      <c r="P99" s="55"/>
      <c r="Q99" s="55"/>
      <c r="R99" s="55">
        <f>+P99+Q99</f>
        <v>0</v>
      </c>
      <c r="S99" s="55">
        <f>+L99+O99+R99</f>
        <v>0</v>
      </c>
      <c r="T99" s="51"/>
    </row>
    <row r="100" spans="1:20" ht="12.75" customHeight="1" x14ac:dyDescent="0.25">
      <c r="A100" s="44"/>
      <c r="B100" s="45"/>
      <c r="C100" s="45"/>
      <c r="D100" s="45"/>
      <c r="E100" s="45"/>
      <c r="F100" s="45"/>
      <c r="G100" s="56" t="s">
        <v>131</v>
      </c>
      <c r="H100" s="47"/>
      <c r="I100" s="48"/>
      <c r="J100" s="54">
        <v>0</v>
      </c>
      <c r="K100" s="54">
        <v>0</v>
      </c>
      <c r="L100" s="54">
        <f t="shared" si="53"/>
        <v>0</v>
      </c>
      <c r="M100" s="55">
        <v>0</v>
      </c>
      <c r="N100" s="55"/>
      <c r="O100" s="55">
        <v>0</v>
      </c>
      <c r="P100" s="55">
        <v>235033994</v>
      </c>
      <c r="Q100" s="55">
        <v>52828377</v>
      </c>
      <c r="R100" s="55">
        <f>+P100+Q100</f>
        <v>287862371</v>
      </c>
      <c r="S100" s="55">
        <f>+L100+O100+R100</f>
        <v>287862371</v>
      </c>
      <c r="T100" s="51"/>
    </row>
    <row r="101" spans="1:20" ht="12.75" customHeight="1" x14ac:dyDescent="0.25">
      <c r="A101" s="44"/>
      <c r="B101" s="45"/>
      <c r="C101" s="45"/>
      <c r="D101" s="45"/>
      <c r="E101" s="45"/>
      <c r="F101" s="45"/>
      <c r="G101" s="53" t="s">
        <v>132</v>
      </c>
      <c r="H101" s="47"/>
      <c r="I101" s="48"/>
      <c r="J101" s="54">
        <v>0</v>
      </c>
      <c r="K101" s="54">
        <v>0</v>
      </c>
      <c r="L101" s="54">
        <f t="shared" si="53"/>
        <v>0</v>
      </c>
      <c r="M101" s="55">
        <v>0</v>
      </c>
      <c r="N101" s="55">
        <v>0</v>
      </c>
      <c r="O101" s="55">
        <f t="shared" si="54"/>
        <v>0</v>
      </c>
      <c r="P101" s="55"/>
      <c r="Q101" s="55"/>
      <c r="R101" s="55">
        <f>+P101+Q101</f>
        <v>0</v>
      </c>
      <c r="S101" s="55">
        <f>+L101+O101+R101</f>
        <v>0</v>
      </c>
      <c r="T101" s="66"/>
    </row>
    <row r="102" spans="1:20" ht="12.75" customHeight="1" x14ac:dyDescent="0.25">
      <c r="A102" s="44"/>
      <c r="B102" s="45"/>
      <c r="C102" s="45"/>
      <c r="D102" s="45"/>
      <c r="E102" s="45"/>
      <c r="F102" s="45"/>
      <c r="G102" s="53" t="s">
        <v>133</v>
      </c>
      <c r="H102" s="47"/>
      <c r="I102" s="48"/>
      <c r="J102" s="54">
        <v>0</v>
      </c>
      <c r="K102" s="54">
        <v>0</v>
      </c>
      <c r="L102" s="54">
        <f t="shared" si="53"/>
        <v>0</v>
      </c>
      <c r="M102" s="55">
        <v>565092100</v>
      </c>
      <c r="N102" s="55">
        <v>100205300</v>
      </c>
      <c r="O102" s="55">
        <f>N102+M102</f>
        <v>665297400</v>
      </c>
      <c r="P102" s="55">
        <v>0</v>
      </c>
      <c r="Q102" s="55">
        <f>+Q86</f>
        <v>0</v>
      </c>
      <c r="R102" s="55">
        <f>+P102+Q102</f>
        <v>0</v>
      </c>
      <c r="S102" s="55">
        <f>+L102+O102+R102</f>
        <v>665297400</v>
      </c>
      <c r="T102" s="51"/>
    </row>
    <row r="103" spans="1:20" ht="12.75" customHeight="1" x14ac:dyDescent="0.25">
      <c r="A103" s="44"/>
      <c r="B103" s="45"/>
      <c r="C103" s="45"/>
      <c r="D103" s="45"/>
      <c r="E103" s="45"/>
      <c r="F103" s="45"/>
      <c r="G103" s="59" t="s">
        <v>146</v>
      </c>
      <c r="H103" s="81"/>
      <c r="I103" s="40"/>
      <c r="J103" s="82">
        <v>0</v>
      </c>
      <c r="K103" s="82">
        <v>0</v>
      </c>
      <c r="L103" s="82">
        <f t="shared" si="53"/>
        <v>0</v>
      </c>
      <c r="M103" s="63">
        <f t="shared" ref="M103:O103" si="55">+M104+M105+M106+M107+M108</f>
        <v>63076100</v>
      </c>
      <c r="N103" s="63">
        <f t="shared" si="55"/>
        <v>11735755</v>
      </c>
      <c r="O103" s="63">
        <f t="shared" si="55"/>
        <v>74811855</v>
      </c>
      <c r="P103" s="63">
        <f>+P104+P105+P106+P107+P108</f>
        <v>404600</v>
      </c>
      <c r="Q103" s="63">
        <f>+Q104+Q105+Q106+Q107+Q108</f>
        <v>658410</v>
      </c>
      <c r="R103" s="63">
        <f>+R104+R105+R106+R107+R108</f>
        <v>1063010</v>
      </c>
      <c r="S103" s="63">
        <f>+S104+S105+S106+S107+S108</f>
        <v>75874865</v>
      </c>
      <c r="T103" s="51"/>
    </row>
    <row r="104" spans="1:20" ht="12.75" customHeight="1" x14ac:dyDescent="0.25">
      <c r="A104" s="44"/>
      <c r="B104" s="45"/>
      <c r="C104" s="45"/>
      <c r="D104" s="45"/>
      <c r="E104" s="45"/>
      <c r="F104" s="45"/>
      <c r="G104" s="56" t="s">
        <v>136</v>
      </c>
      <c r="H104" s="47"/>
      <c r="I104" s="48"/>
      <c r="J104" s="54">
        <v>0</v>
      </c>
      <c r="K104" s="54">
        <v>0</v>
      </c>
      <c r="L104" s="54">
        <f t="shared" si="53"/>
        <v>0</v>
      </c>
      <c r="M104" s="55">
        <v>51045161</v>
      </c>
      <c r="N104" s="55">
        <v>9930254</v>
      </c>
      <c r="O104" s="55">
        <f t="shared" ref="O104:O109" si="56">+M104+N104</f>
        <v>60975415</v>
      </c>
      <c r="P104" s="55">
        <v>0</v>
      </c>
      <c r="Q104" s="55">
        <v>525800</v>
      </c>
      <c r="R104" s="55">
        <f t="shared" ref="R104:R110" si="57">+P104+Q104</f>
        <v>525800</v>
      </c>
      <c r="S104" s="55">
        <f t="shared" ref="S104:S109" si="58">+L104+O104+R104</f>
        <v>61501215</v>
      </c>
      <c r="T104" s="51"/>
    </row>
    <row r="105" spans="1:20" ht="12.75" customHeight="1" x14ac:dyDescent="0.25">
      <c r="A105" s="44"/>
      <c r="B105" s="45"/>
      <c r="C105" s="45"/>
      <c r="D105" s="45"/>
      <c r="E105" s="45"/>
      <c r="F105" s="45"/>
      <c r="G105" s="53" t="s">
        <v>137</v>
      </c>
      <c r="H105" s="47"/>
      <c r="I105" s="48"/>
      <c r="J105" s="54">
        <v>0</v>
      </c>
      <c r="K105" s="54">
        <v>0</v>
      </c>
      <c r="L105" s="54">
        <f t="shared" si="53"/>
        <v>0</v>
      </c>
      <c r="M105" s="55">
        <v>0</v>
      </c>
      <c r="N105" s="55">
        <v>0</v>
      </c>
      <c r="O105" s="55">
        <f t="shared" si="56"/>
        <v>0</v>
      </c>
      <c r="P105" s="55">
        <v>335000</v>
      </c>
      <c r="Q105" s="55">
        <v>0</v>
      </c>
      <c r="R105" s="55">
        <f t="shared" si="57"/>
        <v>335000</v>
      </c>
      <c r="S105" s="55">
        <f t="shared" si="58"/>
        <v>335000</v>
      </c>
      <c r="T105" s="51"/>
    </row>
    <row r="106" spans="1:20" ht="12.75" customHeight="1" x14ac:dyDescent="0.25">
      <c r="A106" s="44"/>
      <c r="B106" s="45"/>
      <c r="C106" s="45"/>
      <c r="D106" s="45"/>
      <c r="E106" s="45"/>
      <c r="F106" s="45"/>
      <c r="G106" s="53" t="s">
        <v>138</v>
      </c>
      <c r="H106" s="47"/>
      <c r="I106" s="48"/>
      <c r="J106" s="54">
        <v>0</v>
      </c>
      <c r="K106" s="54">
        <v>0</v>
      </c>
      <c r="L106" s="54">
        <f t="shared" si="53"/>
        <v>0</v>
      </c>
      <c r="M106" s="55">
        <v>0</v>
      </c>
      <c r="N106" s="55">
        <v>0</v>
      </c>
      <c r="O106" s="55">
        <f t="shared" si="56"/>
        <v>0</v>
      </c>
      <c r="P106" s="55">
        <v>0</v>
      </c>
      <c r="Q106" s="55">
        <v>27450</v>
      </c>
      <c r="R106" s="55">
        <f t="shared" si="57"/>
        <v>27450</v>
      </c>
      <c r="S106" s="55">
        <f t="shared" si="58"/>
        <v>27450</v>
      </c>
      <c r="T106" s="51"/>
    </row>
    <row r="107" spans="1:20" ht="12.75" customHeight="1" x14ac:dyDescent="0.25">
      <c r="A107" s="44"/>
      <c r="B107" s="45"/>
      <c r="C107" s="45"/>
      <c r="D107" s="45"/>
      <c r="E107" s="45"/>
      <c r="F107" s="45"/>
      <c r="G107" s="53" t="s">
        <v>139</v>
      </c>
      <c r="H107" s="47"/>
      <c r="I107" s="48"/>
      <c r="J107" s="54">
        <v>0</v>
      </c>
      <c r="K107" s="54">
        <v>0</v>
      </c>
      <c r="L107" s="54">
        <f t="shared" si="53"/>
        <v>0</v>
      </c>
      <c r="M107" s="55">
        <v>9280939</v>
      </c>
      <c r="N107" s="55">
        <v>1805501</v>
      </c>
      <c r="O107" s="55">
        <f t="shared" si="56"/>
        <v>11086440</v>
      </c>
      <c r="P107" s="55">
        <v>69600</v>
      </c>
      <c r="Q107" s="55">
        <v>105160</v>
      </c>
      <c r="R107" s="55">
        <f t="shared" si="57"/>
        <v>174760</v>
      </c>
      <c r="S107" s="55">
        <f t="shared" si="58"/>
        <v>11261200</v>
      </c>
      <c r="T107" s="51"/>
    </row>
    <row r="108" spans="1:20" ht="12.75" customHeight="1" x14ac:dyDescent="0.25">
      <c r="A108" s="44"/>
      <c r="B108" s="45"/>
      <c r="C108" s="45"/>
      <c r="D108" s="45"/>
      <c r="E108" s="45"/>
      <c r="F108" s="45"/>
      <c r="G108" s="56" t="s">
        <v>140</v>
      </c>
      <c r="H108" s="47"/>
      <c r="I108" s="48"/>
      <c r="J108" s="54">
        <v>0</v>
      </c>
      <c r="K108" s="54">
        <v>0</v>
      </c>
      <c r="L108" s="54">
        <f t="shared" si="53"/>
        <v>0</v>
      </c>
      <c r="M108" s="55">
        <v>2750000</v>
      </c>
      <c r="N108" s="55">
        <v>0</v>
      </c>
      <c r="O108" s="55">
        <f t="shared" si="56"/>
        <v>2750000</v>
      </c>
      <c r="P108" s="55">
        <f t="shared" ref="P108" si="59">P93</f>
        <v>0</v>
      </c>
      <c r="Q108" s="55">
        <v>0</v>
      </c>
      <c r="R108" s="55">
        <f t="shared" si="57"/>
        <v>0</v>
      </c>
      <c r="S108" s="55">
        <f t="shared" si="58"/>
        <v>2750000</v>
      </c>
      <c r="T108" s="51"/>
    </row>
    <row r="109" spans="1:20" ht="12.75" customHeight="1" x14ac:dyDescent="0.25">
      <c r="A109" s="44"/>
      <c r="B109" s="45"/>
      <c r="C109" s="45"/>
      <c r="D109" s="45"/>
      <c r="E109" s="45"/>
      <c r="F109" s="45"/>
      <c r="G109" s="67" t="s">
        <v>141</v>
      </c>
      <c r="H109" s="68"/>
      <c r="I109" s="69"/>
      <c r="J109" s="54">
        <v>0</v>
      </c>
      <c r="K109" s="54">
        <v>0</v>
      </c>
      <c r="L109" s="54">
        <f t="shared" si="53"/>
        <v>0</v>
      </c>
      <c r="M109" s="55">
        <v>0</v>
      </c>
      <c r="N109" s="55">
        <v>0</v>
      </c>
      <c r="O109" s="55">
        <f t="shared" si="56"/>
        <v>0</v>
      </c>
      <c r="P109" s="50">
        <v>0</v>
      </c>
      <c r="Q109" s="42">
        <f>+'[1]BUKU PANJAR '!G15</f>
        <v>0</v>
      </c>
      <c r="R109" s="42">
        <f t="shared" si="57"/>
        <v>0</v>
      </c>
      <c r="S109" s="42">
        <f t="shared" si="58"/>
        <v>0</v>
      </c>
      <c r="T109" s="51"/>
    </row>
    <row r="110" spans="1:20" ht="12.75" customHeight="1" thickBot="1" x14ac:dyDescent="0.3">
      <c r="A110" s="44"/>
      <c r="B110" s="45"/>
      <c r="C110" s="45"/>
      <c r="D110" s="45"/>
      <c r="E110" s="45"/>
      <c r="F110" s="45"/>
      <c r="G110" s="67" t="s">
        <v>147</v>
      </c>
      <c r="H110" s="70"/>
      <c r="I110" s="71"/>
      <c r="J110" s="72"/>
      <c r="K110" s="72"/>
      <c r="L110" s="72"/>
      <c r="M110" s="73"/>
      <c r="N110" s="73"/>
      <c r="O110" s="73"/>
      <c r="P110" s="74"/>
      <c r="Q110" s="55">
        <v>0</v>
      </c>
      <c r="R110" s="55">
        <f t="shared" si="57"/>
        <v>0</v>
      </c>
      <c r="S110" s="84">
        <f>Q110</f>
        <v>0</v>
      </c>
      <c r="T110" s="51"/>
    </row>
    <row r="111" spans="1:20" ht="12.75" customHeight="1" x14ac:dyDescent="0.25">
      <c r="A111" s="44"/>
      <c r="B111" s="45"/>
      <c r="C111" s="45"/>
      <c r="D111" s="45"/>
      <c r="E111" s="45"/>
      <c r="F111" s="45"/>
      <c r="G111" s="75" t="s">
        <v>148</v>
      </c>
      <c r="H111" s="85"/>
      <c r="I111" s="77"/>
      <c r="J111" s="78">
        <f t="shared" ref="J111:L111" si="60">+J98+J103+J109</f>
        <v>0</v>
      </c>
      <c r="K111" s="78">
        <f t="shared" si="60"/>
        <v>0</v>
      </c>
      <c r="L111" s="78">
        <f t="shared" si="60"/>
        <v>0</v>
      </c>
      <c r="M111" s="79">
        <f t="shared" ref="M111:R111" si="61">+M103+M98</f>
        <v>628168200</v>
      </c>
      <c r="N111" s="79">
        <f>+N103+N98</f>
        <v>111941055</v>
      </c>
      <c r="O111" s="79">
        <f>+O103+O98</f>
        <v>740109255</v>
      </c>
      <c r="P111" s="79">
        <f>+P103+P98</f>
        <v>235438594</v>
      </c>
      <c r="Q111" s="79">
        <f>+Q103+Q98+Q110</f>
        <v>53486787</v>
      </c>
      <c r="R111" s="79">
        <f t="shared" si="61"/>
        <v>288925381</v>
      </c>
      <c r="S111" s="79">
        <f>+S103+S98+S110</f>
        <v>1029034636</v>
      </c>
      <c r="T111" s="51"/>
    </row>
    <row r="112" spans="1:20" ht="12.75" customHeight="1" x14ac:dyDescent="0.25">
      <c r="A112" s="86"/>
      <c r="B112" s="87"/>
      <c r="C112" s="87"/>
      <c r="D112" s="87"/>
      <c r="E112" s="87"/>
      <c r="F112" s="87"/>
      <c r="G112" s="56" t="s">
        <v>149</v>
      </c>
      <c r="H112" s="47"/>
      <c r="I112" s="48"/>
      <c r="J112" s="54"/>
      <c r="K112" s="54"/>
      <c r="L112" s="54"/>
      <c r="M112" s="55"/>
      <c r="N112" s="55"/>
      <c r="O112" s="55"/>
      <c r="P112" s="50">
        <v>0</v>
      </c>
      <c r="Q112" s="55">
        <v>0</v>
      </c>
      <c r="R112" s="50">
        <v>0</v>
      </c>
      <c r="S112" s="88">
        <f>+S96-S111</f>
        <v>180326424</v>
      </c>
      <c r="T112" s="89"/>
    </row>
    <row r="113" spans="1:20" ht="12.75" customHeight="1" x14ac:dyDescent="0.25">
      <c r="A113" s="45"/>
      <c r="B113" s="45"/>
      <c r="C113" s="45"/>
      <c r="D113" s="45"/>
      <c r="E113" s="45"/>
      <c r="F113" s="45"/>
      <c r="G113" s="70"/>
      <c r="H113" s="70"/>
      <c r="I113" s="52"/>
      <c r="J113" s="52"/>
      <c r="K113" s="52"/>
      <c r="L113" s="52"/>
      <c r="M113" s="52"/>
      <c r="N113" s="52"/>
      <c r="O113" s="90">
        <f>M111+N111</f>
        <v>740109255</v>
      </c>
      <c r="P113" s="91"/>
      <c r="Q113" s="92"/>
      <c r="R113" s="93">
        <f>P111+Q111</f>
        <v>288925381</v>
      </c>
      <c r="S113" s="94">
        <f>O113+R113</f>
        <v>1029034636</v>
      </c>
      <c r="T113" s="52"/>
    </row>
    <row r="114" spans="1:20" ht="18.75" customHeight="1" x14ac:dyDescent="0.25">
      <c r="G114" s="95" t="s">
        <v>150</v>
      </c>
      <c r="H114" s="70"/>
      <c r="J114" s="96"/>
      <c r="K114" s="96"/>
      <c r="O114" s="96"/>
      <c r="P114" s="97"/>
      <c r="Q114" s="96"/>
      <c r="R114" s="98" t="s">
        <v>169</v>
      </c>
      <c r="S114" s="99"/>
      <c r="T114" s="45"/>
    </row>
    <row r="115" spans="1:20" ht="12.75" customHeight="1" x14ac:dyDescent="0.25">
      <c r="G115" s="100" t="s">
        <v>5</v>
      </c>
      <c r="H115" s="99"/>
      <c r="I115" s="101"/>
      <c r="J115" s="102"/>
      <c r="K115" s="102"/>
      <c r="L115" s="103" t="s">
        <v>151</v>
      </c>
      <c r="M115" s="100" t="s">
        <v>151</v>
      </c>
      <c r="N115" s="99"/>
      <c r="O115" s="104"/>
      <c r="P115" s="45"/>
      <c r="Q115" s="97"/>
      <c r="R115" s="100" t="s">
        <v>6</v>
      </c>
      <c r="S115" s="96"/>
      <c r="T115" s="96"/>
    </row>
    <row r="116" spans="1:20" ht="12.75" customHeight="1" x14ac:dyDescent="0.25">
      <c r="G116" s="95"/>
      <c r="H116" s="99"/>
      <c r="I116" s="102"/>
      <c r="J116" s="105"/>
      <c r="K116" s="105"/>
      <c r="L116" s="106"/>
      <c r="M116" s="95"/>
      <c r="N116" s="99"/>
      <c r="O116" s="96"/>
      <c r="P116" s="97"/>
      <c r="Q116" s="45"/>
      <c r="R116" s="70"/>
      <c r="S116" s="96"/>
      <c r="T116" s="96"/>
    </row>
    <row r="117" spans="1:20" ht="12.75" customHeight="1" x14ac:dyDescent="0.25">
      <c r="G117" s="95"/>
      <c r="H117" s="99"/>
      <c r="I117" s="101"/>
      <c r="J117" s="105"/>
      <c r="K117" s="105"/>
      <c r="L117" s="106"/>
      <c r="M117" s="95"/>
      <c r="N117" s="99"/>
      <c r="O117" s="97"/>
      <c r="P117" s="45"/>
      <c r="Q117" s="97"/>
      <c r="R117" s="70"/>
      <c r="S117" s="96"/>
      <c r="T117" s="96"/>
    </row>
    <row r="118" spans="1:20" ht="12.75" customHeight="1" x14ac:dyDescent="0.25">
      <c r="G118" s="95"/>
      <c r="H118" s="99"/>
      <c r="I118" s="101"/>
      <c r="J118" s="105"/>
      <c r="K118" s="105"/>
      <c r="L118" s="106"/>
      <c r="M118" s="95"/>
      <c r="N118" s="99"/>
      <c r="O118" s="45"/>
      <c r="P118" s="97"/>
      <c r="Q118" s="96"/>
      <c r="R118" s="70"/>
      <c r="S118" s="96"/>
      <c r="T118" s="96"/>
    </row>
    <row r="119" spans="1:20" ht="14.25" customHeight="1" x14ac:dyDescent="0.25">
      <c r="G119" s="107" t="s">
        <v>167</v>
      </c>
      <c r="H119" s="107"/>
      <c r="I119" s="101"/>
      <c r="K119" s="105"/>
      <c r="L119" s="108" t="s">
        <v>152</v>
      </c>
      <c r="M119" s="107" t="s">
        <v>153</v>
      </c>
      <c r="N119" s="107"/>
      <c r="O119" s="96"/>
      <c r="P119" s="45"/>
      <c r="Q119" s="96"/>
      <c r="R119" s="107" t="s">
        <v>154</v>
      </c>
      <c r="S119" s="107"/>
      <c r="T119" s="45"/>
    </row>
    <row r="120" spans="1:20" ht="16.5" customHeight="1" x14ac:dyDescent="0.25">
      <c r="G120" s="95" t="s">
        <v>155</v>
      </c>
      <c r="H120" s="95"/>
      <c r="I120" s="101"/>
      <c r="J120" s="105"/>
      <c r="K120" s="105"/>
      <c r="L120" s="106" t="s">
        <v>156</v>
      </c>
      <c r="M120" s="95" t="s">
        <v>157</v>
      </c>
      <c r="N120" s="95"/>
      <c r="O120" s="96"/>
      <c r="P120" s="96"/>
      <c r="Q120" s="96"/>
      <c r="R120" s="95" t="s">
        <v>157</v>
      </c>
      <c r="S120" s="95"/>
      <c r="T120" s="96"/>
    </row>
    <row r="121" spans="1:20" ht="14.25" customHeight="1" x14ac:dyDescent="0.25">
      <c r="G121" s="95" t="s">
        <v>168</v>
      </c>
      <c r="H121" s="95"/>
      <c r="I121" s="96"/>
      <c r="J121" s="96"/>
      <c r="K121" s="96"/>
      <c r="L121" s="106" t="s">
        <v>158</v>
      </c>
      <c r="M121" s="95" t="s">
        <v>159</v>
      </c>
      <c r="N121" s="95"/>
      <c r="O121" s="96"/>
      <c r="P121" s="96"/>
      <c r="Q121" s="96"/>
      <c r="R121" s="133" t="s">
        <v>160</v>
      </c>
      <c r="S121" s="133"/>
      <c r="T121" s="96"/>
    </row>
    <row r="122" spans="1:20" ht="15.75" customHeight="1" x14ac:dyDescent="0.25"/>
    <row r="123" spans="1:20" ht="15.75" customHeight="1" x14ac:dyDescent="0.25"/>
    <row r="124" spans="1:20" ht="15.75" customHeight="1" x14ac:dyDescent="0.25">
      <c r="I124" s="83"/>
    </row>
    <row r="125" spans="1:20" ht="15.75" customHeight="1" x14ac:dyDescent="0.25"/>
    <row r="126" spans="1:20" ht="15.75" customHeight="1" x14ac:dyDescent="0.25"/>
    <row r="127" spans="1:20" ht="15.75" customHeight="1" x14ac:dyDescent="0.25"/>
    <row r="128" spans="1:20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101">
    <mergeCell ref="G78:H78"/>
    <mergeCell ref="A80:F80"/>
    <mergeCell ref="R121:S121"/>
    <mergeCell ref="G24:H24"/>
    <mergeCell ref="G55:H55"/>
    <mergeCell ref="G73:H73"/>
    <mergeCell ref="A74:F74"/>
    <mergeCell ref="G74:H74"/>
    <mergeCell ref="G75:H75"/>
    <mergeCell ref="G76:H76"/>
    <mergeCell ref="G77:H77"/>
    <mergeCell ref="G68:H68"/>
    <mergeCell ref="G69:H69"/>
    <mergeCell ref="A70:F70"/>
    <mergeCell ref="G70:H70"/>
    <mergeCell ref="G71:H71"/>
    <mergeCell ref="G72:H72"/>
    <mergeCell ref="G63:H63"/>
    <mergeCell ref="A64:F64"/>
    <mergeCell ref="G64:H64"/>
    <mergeCell ref="G65:H65"/>
    <mergeCell ref="G66:H66"/>
    <mergeCell ref="G67:H67"/>
    <mergeCell ref="G58:H58"/>
    <mergeCell ref="G59:H59"/>
    <mergeCell ref="G60:H60"/>
    <mergeCell ref="A61:F61"/>
    <mergeCell ref="G61:H61"/>
    <mergeCell ref="G62:H62"/>
    <mergeCell ref="A52:F52"/>
    <mergeCell ref="G52:H52"/>
    <mergeCell ref="G53:H53"/>
    <mergeCell ref="G54:H54"/>
    <mergeCell ref="G56:H56"/>
    <mergeCell ref="A57:F57"/>
    <mergeCell ref="G57:H57"/>
    <mergeCell ref="G46:H46"/>
    <mergeCell ref="G47:H47"/>
    <mergeCell ref="G48:H48"/>
    <mergeCell ref="G49:H49"/>
    <mergeCell ref="G50:H50"/>
    <mergeCell ref="G51:H51"/>
    <mergeCell ref="A41:F41"/>
    <mergeCell ref="G41:H41"/>
    <mergeCell ref="G42:H42"/>
    <mergeCell ref="G43:H43"/>
    <mergeCell ref="G44:H44"/>
    <mergeCell ref="A45:F45"/>
    <mergeCell ref="G45:H45"/>
    <mergeCell ref="G36:H36"/>
    <mergeCell ref="G37:H37"/>
    <mergeCell ref="G38:H38"/>
    <mergeCell ref="A39:F39"/>
    <mergeCell ref="G39:H39"/>
    <mergeCell ref="G40:H40"/>
    <mergeCell ref="G32:H32"/>
    <mergeCell ref="A33:F33"/>
    <mergeCell ref="G33:H33"/>
    <mergeCell ref="G34:H34"/>
    <mergeCell ref="A35:F35"/>
    <mergeCell ref="G35:H35"/>
    <mergeCell ref="G27:H27"/>
    <mergeCell ref="G28:H28"/>
    <mergeCell ref="A29:F29"/>
    <mergeCell ref="G29:H29"/>
    <mergeCell ref="G30:H30"/>
    <mergeCell ref="G31:H31"/>
    <mergeCell ref="G21:H21"/>
    <mergeCell ref="G22:H22"/>
    <mergeCell ref="G23:H23"/>
    <mergeCell ref="G25:H25"/>
    <mergeCell ref="A26:F26"/>
    <mergeCell ref="G26:H26"/>
    <mergeCell ref="A17:F17"/>
    <mergeCell ref="G17:H17"/>
    <mergeCell ref="G18:H18"/>
    <mergeCell ref="A19:F19"/>
    <mergeCell ref="G19:H19"/>
    <mergeCell ref="G20:H20"/>
    <mergeCell ref="O14:O15"/>
    <mergeCell ref="P14:P15"/>
    <mergeCell ref="Q14:Q15"/>
    <mergeCell ref="A1:T1"/>
    <mergeCell ref="A2:T2"/>
    <mergeCell ref="A3:T3"/>
    <mergeCell ref="A4:T4"/>
    <mergeCell ref="A5:T5"/>
    <mergeCell ref="A6:T6"/>
    <mergeCell ref="R14:R15"/>
    <mergeCell ref="A16:F16"/>
    <mergeCell ref="G16:H16"/>
    <mergeCell ref="A13:F15"/>
    <mergeCell ref="G13:H15"/>
    <mergeCell ref="J13:L13"/>
    <mergeCell ref="M13:O13"/>
    <mergeCell ref="P13:R13"/>
    <mergeCell ref="J14:J15"/>
    <mergeCell ref="K14:K15"/>
    <mergeCell ref="L14:L15"/>
    <mergeCell ref="M14:M15"/>
    <mergeCell ref="N14:N15"/>
  </mergeCells>
  <printOptions horizontalCentered="1"/>
  <pageMargins left="0" right="0.39370078740157483" top="0.39370078740157483" bottom="0.39370078740157483" header="0" footer="0"/>
  <pageSetup paperSize="10000" scale="64" fitToHeight="3" orientation="landscape" r:id="rId1"/>
  <rowBreaks count="1" manualBreakCount="1">
    <brk id="48" max="19" man="1"/>
  </rowBreaks>
  <colBreaks count="1" manualBreakCount="1">
    <brk id="13" max="13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LPJ 2026</vt:lpstr>
      <vt:lpstr>'LPJ 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GIGABYTE</dc:creator>
  <cp:lastModifiedBy>GIGABYTE</cp:lastModifiedBy>
  <dcterms:created xsi:type="dcterms:W3CDTF">2026-06-29T07:34:29Z</dcterms:created>
  <dcterms:modified xsi:type="dcterms:W3CDTF">2026-06-29T07:59:50Z</dcterms:modified>
</cp:coreProperties>
</file>